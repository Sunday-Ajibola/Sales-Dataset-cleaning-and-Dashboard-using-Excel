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Sunday Ajibola\Documents\My Portfolio\Excel Sales Project\"/>
    </mc:Choice>
  </mc:AlternateContent>
  <xr:revisionPtr revIDLastSave="0" documentId="13_ncr:1_{836F81DB-217A-4E75-9C6B-14F10FE32371}" xr6:coauthVersionLast="47" xr6:coauthVersionMax="47" xr10:uidLastSave="{00000000-0000-0000-0000-000000000000}"/>
  <bookViews>
    <workbookView xWindow="-108" yWindow="-108" windowWidth="23256" windowHeight="12456" activeTab="3" xr2:uid="{FBEE0547-C1DD-4B7A-A3EB-2BA1446463BC}"/>
  </bookViews>
  <sheets>
    <sheet name="Raw Data" sheetId="10" r:id="rId1"/>
    <sheet name="Cleaned Data" sheetId="11" r:id="rId2"/>
    <sheet name="Pivot Table" sheetId="12" r:id="rId3"/>
    <sheet name="Dashboard" sheetId="13" r:id="rId4"/>
  </sheets>
  <externalReferences>
    <externalReference r:id="rId5"/>
  </externalReferences>
  <definedNames>
    <definedName name="_xlnm._FilterDatabase" localSheetId="1" hidden="1">'Cleaned Data'!$A$1:$K$29</definedName>
    <definedName name="Slicer_Name">#N/A</definedName>
    <definedName name="Slicer_Product">#N/A</definedName>
    <definedName name="Slicer_Rating">#N/A</definedName>
    <definedName name="Slicer_Region">#N/A</definedName>
    <definedName name="Slicer_Year">#N/A</definedName>
  </definedNames>
  <calcPr calcId="191028"/>
  <pivotCaches>
    <pivotCache cacheId="66"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3" l="1"/>
  <c r="R3" i="13"/>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2" i="11"/>
  <c r="E16" i="12"/>
  <c r="E13" i="12"/>
</calcChain>
</file>

<file path=xl/sharedStrings.xml><?xml version="1.0" encoding="utf-8"?>
<sst xmlns="http://schemas.openxmlformats.org/spreadsheetml/2006/main" count="377" uniqueCount="110">
  <si>
    <t>Date</t>
  </si>
  <si>
    <t>ID</t>
  </si>
  <si>
    <t>Name</t>
  </si>
  <si>
    <t>Region</t>
  </si>
  <si>
    <t>Rating</t>
  </si>
  <si>
    <t>Product</t>
  </si>
  <si>
    <t>Quantity</t>
  </si>
  <si>
    <t>Price Per Unit</t>
  </si>
  <si>
    <t xml:space="preserve">John Smith   </t>
  </si>
  <si>
    <t>North</t>
  </si>
  <si>
    <t>Good</t>
  </si>
  <si>
    <t>Magic Wand</t>
  </si>
  <si>
    <t>Jane Doe</t>
  </si>
  <si>
    <t>East</t>
  </si>
  <si>
    <t>Excelent</t>
  </si>
  <si>
    <t>Unicorn Horn</t>
  </si>
  <si>
    <t>Mike   Tyson</t>
  </si>
  <si>
    <t>West</t>
  </si>
  <si>
    <t>Poor</t>
  </si>
  <si>
    <t>Boxing Gloves</t>
  </si>
  <si>
    <t>inf</t>
  </si>
  <si>
    <t>Anna   Belle</t>
  </si>
  <si>
    <t>South</t>
  </si>
  <si>
    <t>Average</t>
  </si>
  <si>
    <t>Fairy Dust</t>
  </si>
  <si>
    <t>Chris P. Bacon</t>
  </si>
  <si>
    <t>Bacon Scented Candle</t>
  </si>
  <si>
    <t>Peter   Parker</t>
  </si>
  <si>
    <t>Web Shooter</t>
  </si>
  <si>
    <t>Mary Jane</t>
  </si>
  <si>
    <t>Potent Potion</t>
  </si>
  <si>
    <t>Bruce Wayne</t>
  </si>
  <si>
    <t>Bat Signal</t>
  </si>
  <si>
    <t>Clark Kent</t>
  </si>
  <si>
    <t>Glasses with X-ray Vision</t>
  </si>
  <si>
    <t>Diana Prince</t>
  </si>
  <si>
    <t>Lasso of Truth</t>
  </si>
  <si>
    <t>Tony Stark</t>
  </si>
  <si>
    <t>Iron Man Suit</t>
  </si>
  <si>
    <t>Steve Rogers</t>
  </si>
  <si>
    <t>Captain America Shield</t>
  </si>
  <si>
    <t>Natasha Romanoff</t>
  </si>
  <si>
    <t>Black Widow's Bite</t>
  </si>
  <si>
    <t>Bruce Banner</t>
  </si>
  <si>
    <t>Gamma Radiation Serum</t>
  </si>
  <si>
    <t>Nick Fury</t>
  </si>
  <si>
    <t>Eye Patch</t>
  </si>
  <si>
    <t>Phil Coulson</t>
  </si>
  <si>
    <t>Agent ID Card</t>
  </si>
  <si>
    <t>Peggy Carter</t>
  </si>
  <si>
    <t>Vintage Pistol</t>
  </si>
  <si>
    <t>Howard Stark</t>
  </si>
  <si>
    <t>Arc Reactor</t>
  </si>
  <si>
    <t>Hank Pym</t>
  </si>
  <si>
    <t>Ant-Man Suit</t>
  </si>
  <si>
    <t>Janet van Dyne</t>
  </si>
  <si>
    <t>Wasp's Wings</t>
  </si>
  <si>
    <t>Kurt Busiek</t>
  </si>
  <si>
    <t>Comic Book</t>
  </si>
  <si>
    <t>George Perez</t>
  </si>
  <si>
    <t>Drawing Pad</t>
  </si>
  <si>
    <t>Roger Stern</t>
  </si>
  <si>
    <t>Notepads</t>
  </si>
  <si>
    <t>Tom DeFalco</t>
  </si>
  <si>
    <t>Pen Set</t>
  </si>
  <si>
    <t>Loki Laufeyson</t>
  </si>
  <si>
    <t>Asgard</t>
  </si>
  <si>
    <t>Mischief</t>
  </si>
  <si>
    <t>Trickster's Hat</t>
  </si>
  <si>
    <t>Thor Odinson</t>
  </si>
  <si>
    <t>Worthy</t>
  </si>
  <si>
    <t>Mjolnir</t>
  </si>
  <si>
    <t>Spy</t>
  </si>
  <si>
    <t>Spy Kit</t>
  </si>
  <si>
    <t>Leader</t>
  </si>
  <si>
    <t>Leadership Manual</t>
  </si>
  <si>
    <t>Unknown</t>
  </si>
  <si>
    <t>John Smith</t>
  </si>
  <si>
    <t>Mike Tyson</t>
  </si>
  <si>
    <t>Anna Belle</t>
  </si>
  <si>
    <t>Peter Parker</t>
  </si>
  <si>
    <t>Excellent</t>
  </si>
  <si>
    <t>Status</t>
  </si>
  <si>
    <t>Total Cost</t>
  </si>
  <si>
    <t>Row Labels</t>
  </si>
  <si>
    <t>Grand Total</t>
  </si>
  <si>
    <t>Sum of Quantity</t>
  </si>
  <si>
    <t>Sum of Total Cost</t>
  </si>
  <si>
    <t>Time</t>
  </si>
  <si>
    <t>SALES PERFORMANCE DASHBOARD</t>
  </si>
  <si>
    <t>Total Sales Per Region</t>
  </si>
  <si>
    <t>Total Sales Per Product</t>
  </si>
  <si>
    <t>Count of Rating</t>
  </si>
  <si>
    <t>Year</t>
  </si>
  <si>
    <t>Jan</t>
  </si>
  <si>
    <t>Feb</t>
  </si>
  <si>
    <t>Mar</t>
  </si>
  <si>
    <t>Apr</t>
  </si>
  <si>
    <t>May</t>
  </si>
  <si>
    <t>Jun</t>
  </si>
  <si>
    <t>Jul</t>
  </si>
  <si>
    <t>Aug</t>
  </si>
  <si>
    <t>Sept</t>
  </si>
  <si>
    <t>Oct</t>
  </si>
  <si>
    <t>Nov</t>
  </si>
  <si>
    <t>Dec</t>
  </si>
  <si>
    <t>Quantity Sold Per Product</t>
  </si>
  <si>
    <t>Sales Trend</t>
  </si>
  <si>
    <t>Total Sales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</si>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</sst>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0.0"/>
    <numFmt numFmtId="166" formatCode="[$-F400]h:mm:ss\ AM/PM"/>
    <numFmt numFmtId="168" formatCode="yyyy"/>
  </numFmts>
  <fonts count="7" x14ac:knownFonts="1">
    <font>
      <sz val="11"/>
      <color theme="1"/>
      <name val="Calibri"/>
      <family val="2"/>
      <scheme val="minor"/>
    </font>
    <font>
      <b/>
      <sz val="11"/>
      <color rgb="FF000000"/>
      <name val="Calibri"/>
      <family val="2"/>
      <scheme val="minor"/>
    </font>
    <font>
      <sz val="11"/>
      <color rgb="FF000000"/>
      <name val="Calibri"/>
      <family val="2"/>
      <scheme val="minor"/>
    </font>
    <font>
      <b/>
      <sz val="28"/>
      <color theme="0"/>
      <name val="Calibri"/>
      <family val="2"/>
      <scheme val="minor"/>
    </font>
    <font>
      <b/>
      <sz val="12"/>
      <color theme="0"/>
      <name val="Calibri"/>
      <family val="2"/>
      <scheme val="minor"/>
    </font>
    <font>
      <b/>
      <sz val="18"/>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left" vertical="top"/>
    </xf>
    <xf numFmtId="22" fontId="2" fillId="0" borderId="0" xfId="0" applyNumberFormat="1" applyFont="1"/>
    <xf numFmtId="0" fontId="2" fillId="0" borderId="0" xfId="0" applyFont="1"/>
    <xf numFmtId="164" fontId="2" fillId="0" borderId="0" xfId="0" applyNumberFormat="1" applyFont="1"/>
    <xf numFmtId="14" fontId="1" fillId="0" borderId="0" xfId="0" applyNumberFormat="1" applyFont="1" applyAlignment="1">
      <alignment horizontal="left" vertical="top"/>
    </xf>
    <xf numFmtId="14" fontId="2" fillId="0" borderId="0" xfId="0" applyNumberFormat="1" applyFont="1"/>
    <xf numFmtId="14" fontId="0" fillId="0" borderId="0" xfId="0" applyNumberFormat="1"/>
    <xf numFmtId="2" fontId="1" fillId="0" borderId="0" xfId="0" applyNumberFormat="1" applyFont="1" applyAlignment="1">
      <alignment horizontal="left" vertical="top"/>
    </xf>
    <xf numFmtId="2" fontId="2" fillId="0" borderId="0" xfId="0" applyNumberFormat="1" applyFont="1"/>
    <xf numFmtId="2" fontId="0" fillId="0" borderId="0" xfId="0" applyNumberFormat="1"/>
    <xf numFmtId="165" fontId="1" fillId="0" borderId="0" xfId="0" applyNumberFormat="1" applyFont="1" applyAlignment="1">
      <alignment horizontal="left" vertical="top"/>
    </xf>
    <xf numFmtId="165" fontId="0" fillId="0" borderId="0" xfId="0" applyNumberFormat="1"/>
    <xf numFmtId="1" fontId="1" fillId="0" borderId="0" xfId="0" applyNumberFormat="1" applyFont="1" applyAlignment="1">
      <alignment horizontal="left" vertical="top"/>
    </xf>
    <xf numFmtId="1" fontId="2"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14" fontId="4" fillId="2" borderId="0" xfId="0" applyNumberFormat="1" applyFont="1" applyFill="1"/>
    <xf numFmtId="166" fontId="4" fillId="2" borderId="0" xfId="0" applyNumberFormat="1" applyFont="1" applyFill="1"/>
    <xf numFmtId="0" fontId="5" fillId="3" borderId="0" xfId="0" applyFont="1" applyFill="1" applyAlignment="1">
      <alignment horizontal="center"/>
    </xf>
    <xf numFmtId="0" fontId="0" fillId="3" borderId="0" xfId="0" applyFill="1" applyAlignment="1">
      <alignment horizontal="center"/>
    </xf>
    <xf numFmtId="0" fontId="3" fillId="2" borderId="0" xfId="0" applyFont="1" applyFill="1" applyAlignment="1">
      <alignment horizontal="center" vertical="center"/>
    </xf>
    <xf numFmtId="0" fontId="0" fillId="0" borderId="0" xfId="0" applyNumberFormat="1"/>
    <xf numFmtId="0" fontId="2" fillId="0" borderId="0" xfId="0" applyNumberFormat="1" applyFont="1"/>
    <xf numFmtId="0" fontId="6" fillId="0" borderId="0" xfId="0" applyFont="1" applyAlignment="1">
      <alignment horizontal="left"/>
    </xf>
    <xf numFmtId="0" fontId="6" fillId="0" borderId="0" xfId="0" applyFont="1"/>
  </cellXfs>
  <cellStyles count="1">
    <cellStyle name="Normal" xfId="0" builtinId="0"/>
  </cellStyles>
  <dxfs count="11">
    <dxf>
      <font>
        <b val="0"/>
        <i val="0"/>
        <strike val="0"/>
        <condense val="0"/>
        <extend val="0"/>
        <outline val="0"/>
        <shadow val="0"/>
        <u val="none"/>
        <vertAlign val="baseline"/>
        <sz val="11"/>
        <color rgb="FF000000"/>
        <name val="Calibri"/>
        <family val="2"/>
        <scheme val="minor"/>
      </font>
      <numFmt numFmtId="0" formatCode="Genera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dd/mm/yyyy"/>
    </dxf>
    <dxf>
      <numFmt numFmtId="165" formatCode="0.0"/>
    </dxf>
    <dxf>
      <font>
        <b val="0"/>
        <i val="0"/>
        <strike val="0"/>
        <condense val="0"/>
        <extend val="0"/>
        <outline val="0"/>
        <shadow val="0"/>
        <u val="none"/>
        <vertAlign val="baseline"/>
        <sz val="11"/>
        <color rgb="FF000000"/>
        <name val="Calibri"/>
        <family val="2"/>
        <scheme val="minor"/>
      </font>
      <numFmt numFmtId="2" formatCode="0.0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 formatCode="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07/relationships/slicerCache" Target="slicerCaches/slicerCache4.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[Excel_Dirty_Data.xlsx]Pivot 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1660906452888"/>
          <c:y val="0.22408751499319918"/>
          <c:w val="0.74873016759429889"/>
          <c:h val="0.31397439212712774"/>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Table'!$A$4:$A$32</c:f>
              <c:strCache>
                <c:ptCount val="28"/>
                <c:pt idx="0">
                  <c:v>Agent ID Card</c:v>
                </c:pt>
                <c:pt idx="1">
                  <c:v>Ant-Man Suit</c:v>
                </c:pt>
                <c:pt idx="2">
                  <c:v>Arc Reactor</c:v>
                </c:pt>
                <c:pt idx="3">
                  <c:v>Bacon Scented Candle</c:v>
                </c:pt>
                <c:pt idx="4">
                  <c:v>Bat Signal</c:v>
                </c:pt>
                <c:pt idx="5">
                  <c:v>Black Widow's Bite</c:v>
                </c:pt>
                <c:pt idx="6">
                  <c:v>Boxing Gloves</c:v>
                </c:pt>
                <c:pt idx="7">
                  <c:v>Captain America Shield</c:v>
                </c:pt>
                <c:pt idx="8">
                  <c:v>Comic Book</c:v>
                </c:pt>
                <c:pt idx="9">
                  <c:v>Drawing Pad</c:v>
                </c:pt>
                <c:pt idx="10">
                  <c:v>Eye Patch</c:v>
                </c:pt>
                <c:pt idx="11">
                  <c:v>Fairy Dust</c:v>
                </c:pt>
                <c:pt idx="12">
                  <c:v>Gamma Radiation Serum</c:v>
                </c:pt>
                <c:pt idx="13">
                  <c:v>Glasses with X-ray Vision</c:v>
                </c:pt>
                <c:pt idx="14">
                  <c:v>Iron Man Suit</c:v>
                </c:pt>
                <c:pt idx="15">
                  <c:v>Lasso of Truth</c:v>
                </c:pt>
                <c:pt idx="16">
                  <c:v>Leadership Manual</c:v>
                </c:pt>
                <c:pt idx="17">
                  <c:v>Magic Wand</c:v>
                </c:pt>
                <c:pt idx="18">
                  <c:v>Mjolnir</c:v>
                </c:pt>
                <c:pt idx="19">
                  <c:v>Notepads</c:v>
                </c:pt>
                <c:pt idx="20">
                  <c:v>Pen Set</c:v>
                </c:pt>
                <c:pt idx="21">
                  <c:v>Potent Potion</c:v>
                </c:pt>
                <c:pt idx="22">
                  <c:v>Spy Kit</c:v>
                </c:pt>
                <c:pt idx="23">
                  <c:v>Trickster's Hat</c:v>
                </c:pt>
                <c:pt idx="24">
                  <c:v>Unicorn Horn</c:v>
                </c:pt>
                <c:pt idx="25">
                  <c:v>Vintage Pistol</c:v>
                </c:pt>
                <c:pt idx="26">
                  <c:v>Wasp's Wings</c:v>
                </c:pt>
                <c:pt idx="27">
                  <c:v>Web Shooter</c:v>
                </c:pt>
              </c:strCache>
            </c:strRef>
          </c:cat>
          <c:val>
            <c:numRef>
              <c:f>'Pivot Table'!$B$4:$B$32</c:f>
              <c:numCache>
                <c:formatCode>0</c:formatCode>
                <c:ptCount val="28"/>
                <c:pt idx="0">
                  <c:v>0</c:v>
                </c:pt>
                <c:pt idx="1">
                  <c:v>50</c:v>
                </c:pt>
                <c:pt idx="2">
                  <c:v>45</c:v>
                </c:pt>
                <c:pt idx="3">
                  <c:v>30</c:v>
                </c:pt>
                <c:pt idx="4">
                  <c:v>40</c:v>
                </c:pt>
                <c:pt idx="5">
                  <c:v>0</c:v>
                </c:pt>
                <c:pt idx="6">
                  <c:v>0</c:v>
                </c:pt>
                <c:pt idx="7">
                  <c:v>20</c:v>
                </c:pt>
                <c:pt idx="8">
                  <c:v>60</c:v>
                </c:pt>
                <c:pt idx="9">
                  <c:v>0</c:v>
                </c:pt>
                <c:pt idx="10">
                  <c:v>35</c:v>
                </c:pt>
                <c:pt idx="11">
                  <c:v>25</c:v>
                </c:pt>
                <c:pt idx="12">
                  <c:v>30</c:v>
                </c:pt>
                <c:pt idx="13">
                  <c:v>45</c:v>
                </c:pt>
                <c:pt idx="14">
                  <c:v>5</c:v>
                </c:pt>
                <c:pt idx="15">
                  <c:v>50</c:v>
                </c:pt>
                <c:pt idx="16">
                  <c:v>85</c:v>
                </c:pt>
                <c:pt idx="17">
                  <c:v>10</c:v>
                </c:pt>
                <c:pt idx="18">
                  <c:v>80</c:v>
                </c:pt>
                <c:pt idx="19">
                  <c:v>65</c:v>
                </c:pt>
                <c:pt idx="20">
                  <c:v>70</c:v>
                </c:pt>
                <c:pt idx="21">
                  <c:v>35</c:v>
                </c:pt>
                <c:pt idx="22">
                  <c:v>0</c:v>
                </c:pt>
                <c:pt idx="23">
                  <c:v>75</c:v>
                </c:pt>
                <c:pt idx="24">
                  <c:v>15</c:v>
                </c:pt>
                <c:pt idx="25">
                  <c:v>40</c:v>
                </c:pt>
                <c:pt idx="26">
                  <c:v>55</c:v>
                </c:pt>
                <c:pt idx="27">
                  <c:v>0</c:v>
                </c:pt>
              </c:numCache>
            </c:numRef>
          </c:val>
          <c:extLst>
            <c:ext xmlns:c16="http://schemas.microsoft.com/office/drawing/2014/chart" uri="{C3380CC4-5D6E-409C-BE32-E72D297353CC}">
              <c16:uniqueId val="{00000000-2103-4768-87EB-5DDA23CBEB7F}"/>
            </c:ext>
          </c:extLst>
        </c:ser>
        <c:dLbls>
          <c:showLegendKey val="0"/>
          <c:showVal val="0"/>
          <c:showCatName val="0"/>
          <c:showSerName val="0"/>
          <c:showPercent val="0"/>
          <c:showBubbleSize val="0"/>
        </c:dLbls>
        <c:gapWidth val="219"/>
        <c:overlap val="-27"/>
        <c:axId val="1355096944"/>
        <c:axId val="1355116624"/>
      </c:barChart>
      <c:catAx>
        <c:axId val="135509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116624"/>
        <c:crosses val="autoZero"/>
        <c:auto val="1"/>
        <c:lblAlgn val="ctr"/>
        <c:lblOffset val="100"/>
        <c:noMultiLvlLbl val="0"/>
      </c:catAx>
      <c:valAx>
        <c:axId val="1355116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[Excel_Dirty_Data.xlsx]Pivot Table!PivotTable2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w="19050">
              <a:solidFill>
                <a:schemeClr val="lt1"/>
              </a:solidFill>
            </a:ln>
            <a:effectLst/>
          </c:spPr>
          <c:invertIfNegative val="0"/>
          <c:cat>
            <c:strRef>
              <c:f>'Pivot Table'!$D$4:$D$10</c:f>
              <c:strCache>
                <c:ptCount val="6"/>
                <c:pt idx="0">
                  <c:v>Asgard</c:v>
                </c:pt>
                <c:pt idx="1">
                  <c:v>East</c:v>
                </c:pt>
                <c:pt idx="2">
                  <c:v>North</c:v>
                </c:pt>
                <c:pt idx="3">
                  <c:v>South</c:v>
                </c:pt>
                <c:pt idx="4">
                  <c:v>Unknown</c:v>
                </c:pt>
                <c:pt idx="5">
                  <c:v>West</c:v>
                </c:pt>
              </c:strCache>
            </c:strRef>
          </c:cat>
          <c:val>
            <c:numRef>
              <c:f>'Pivot Table'!$E$4:$E$10</c:f>
              <c:numCache>
                <c:formatCode>0.0</c:formatCode>
                <c:ptCount val="6"/>
                <c:pt idx="0">
                  <c:v>4499.75</c:v>
                </c:pt>
                <c:pt idx="1">
                  <c:v>4400</c:v>
                </c:pt>
                <c:pt idx="2">
                  <c:v>2399.85</c:v>
                </c:pt>
                <c:pt idx="3">
                  <c:v>8049.9</c:v>
                </c:pt>
                <c:pt idx="4">
                  <c:v>1100.1000000000001</c:v>
                </c:pt>
                <c:pt idx="5">
                  <c:v>5950.2</c:v>
                </c:pt>
              </c:numCache>
            </c:numRef>
          </c:val>
          <c:extLst>
            <c:ext xmlns:c16="http://schemas.microsoft.com/office/drawing/2014/chart" uri="{C3380CC4-5D6E-409C-BE32-E72D297353CC}">
              <c16:uniqueId val="{0000000C-D0B4-4ACC-80A1-30F9785B5A73}"/>
            </c:ext>
          </c:extLst>
        </c:ser>
        <c:dLbls>
          <c:showLegendKey val="0"/>
          <c:showVal val="0"/>
          <c:showCatName val="0"/>
          <c:showSerName val="0"/>
          <c:showPercent val="0"/>
          <c:showBubbleSize val="0"/>
        </c:dLbls>
        <c:gapWidth val="100"/>
        <c:axId val="1273922384"/>
        <c:axId val="1273922864"/>
      </c:barChart>
      <c:catAx>
        <c:axId val="127392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22864"/>
        <c:auto val="1"/>
        <c:lblAlgn val="ctr"/>
        <c:lblOffset val="100"/>
        <c:noMultiLvlLbl val="0"/>
      </c:catAx>
      <c:valAx>
        <c:axId val="12739228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2238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[Excel_Dirty_Data.xlsx]Pivot Table!PivotTable4</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Table'!$G$4:$G$32</c:f>
              <c:strCache>
                <c:ptCount val="28"/>
                <c:pt idx="0">
                  <c:v>Agent ID Card</c:v>
                </c:pt>
                <c:pt idx="1">
                  <c:v>Ant-Man Suit</c:v>
                </c:pt>
                <c:pt idx="2">
                  <c:v>Arc Reactor</c:v>
                </c:pt>
                <c:pt idx="3">
                  <c:v>Bacon Scented Candle</c:v>
                </c:pt>
                <c:pt idx="4">
                  <c:v>Bat Signal</c:v>
                </c:pt>
                <c:pt idx="5">
                  <c:v>Black Widow's Bite</c:v>
                </c:pt>
                <c:pt idx="6">
                  <c:v>Boxing Gloves</c:v>
                </c:pt>
                <c:pt idx="7">
                  <c:v>Captain America Shield</c:v>
                </c:pt>
                <c:pt idx="8">
                  <c:v>Comic Book</c:v>
                </c:pt>
                <c:pt idx="9">
                  <c:v>Drawing Pad</c:v>
                </c:pt>
                <c:pt idx="10">
                  <c:v>Eye Patch</c:v>
                </c:pt>
                <c:pt idx="11">
                  <c:v>Fairy Dust</c:v>
                </c:pt>
                <c:pt idx="12">
                  <c:v>Gamma Radiation Serum</c:v>
                </c:pt>
                <c:pt idx="13">
                  <c:v>Glasses with X-ray Vision</c:v>
                </c:pt>
                <c:pt idx="14">
                  <c:v>Iron Man Suit</c:v>
                </c:pt>
                <c:pt idx="15">
                  <c:v>Lasso of Truth</c:v>
                </c:pt>
                <c:pt idx="16">
                  <c:v>Leadership Manual</c:v>
                </c:pt>
                <c:pt idx="17">
                  <c:v>Magic Wand</c:v>
                </c:pt>
                <c:pt idx="18">
                  <c:v>Mjolnir</c:v>
                </c:pt>
                <c:pt idx="19">
                  <c:v>Notepads</c:v>
                </c:pt>
                <c:pt idx="20">
                  <c:v>Pen Set</c:v>
                </c:pt>
                <c:pt idx="21">
                  <c:v>Potent Potion</c:v>
                </c:pt>
                <c:pt idx="22">
                  <c:v>Spy Kit</c:v>
                </c:pt>
                <c:pt idx="23">
                  <c:v>Trickster's Hat</c:v>
                </c:pt>
                <c:pt idx="24">
                  <c:v>Unicorn Horn</c:v>
                </c:pt>
                <c:pt idx="25">
                  <c:v>Vintage Pistol</c:v>
                </c:pt>
                <c:pt idx="26">
                  <c:v>Wasp's Wings</c:v>
                </c:pt>
                <c:pt idx="27">
                  <c:v>Web Shooter</c:v>
                </c:pt>
              </c:strCache>
            </c:strRef>
          </c:cat>
          <c:val>
            <c:numRef>
              <c:f>'Pivot Table'!$H$4:$H$32</c:f>
              <c:numCache>
                <c:formatCode>0.0</c:formatCode>
                <c:ptCount val="28"/>
                <c:pt idx="0">
                  <c:v>0</c:v>
                </c:pt>
                <c:pt idx="1">
                  <c:v>1600</c:v>
                </c:pt>
                <c:pt idx="2">
                  <c:v>1499.85</c:v>
                </c:pt>
                <c:pt idx="3">
                  <c:v>500.1</c:v>
                </c:pt>
                <c:pt idx="4">
                  <c:v>600</c:v>
                </c:pt>
                <c:pt idx="5">
                  <c:v>0</c:v>
                </c:pt>
                <c:pt idx="6">
                  <c:v>0</c:v>
                </c:pt>
                <c:pt idx="7">
                  <c:v>900</c:v>
                </c:pt>
                <c:pt idx="8">
                  <c:v>1800</c:v>
                </c:pt>
                <c:pt idx="9">
                  <c:v>0</c:v>
                </c:pt>
                <c:pt idx="10">
                  <c:v>1200.1499999999999</c:v>
                </c:pt>
                <c:pt idx="11">
                  <c:v>250</c:v>
                </c:pt>
                <c:pt idx="12">
                  <c:v>1100.1000000000001</c:v>
                </c:pt>
                <c:pt idx="13">
                  <c:v>549.9</c:v>
                </c:pt>
                <c:pt idx="14">
                  <c:v>800</c:v>
                </c:pt>
                <c:pt idx="15">
                  <c:v>700</c:v>
                </c:pt>
                <c:pt idx="16">
                  <c:v>2499.85</c:v>
                </c:pt>
                <c:pt idx="17">
                  <c:v>200</c:v>
                </c:pt>
                <c:pt idx="18">
                  <c:v>2300</c:v>
                </c:pt>
                <c:pt idx="19">
                  <c:v>2000.05</c:v>
                </c:pt>
                <c:pt idx="20">
                  <c:v>2100</c:v>
                </c:pt>
                <c:pt idx="21">
                  <c:v>350</c:v>
                </c:pt>
                <c:pt idx="22">
                  <c:v>0</c:v>
                </c:pt>
                <c:pt idx="23">
                  <c:v>2199.75</c:v>
                </c:pt>
                <c:pt idx="24">
                  <c:v>150</c:v>
                </c:pt>
                <c:pt idx="25">
                  <c:v>1400</c:v>
                </c:pt>
                <c:pt idx="26">
                  <c:v>1700.05</c:v>
                </c:pt>
                <c:pt idx="27">
                  <c:v>0</c:v>
                </c:pt>
              </c:numCache>
            </c:numRef>
          </c:val>
          <c:extLst>
            <c:ext xmlns:c16="http://schemas.microsoft.com/office/drawing/2014/chart" uri="{C3380CC4-5D6E-409C-BE32-E72D297353CC}">
              <c16:uniqueId val="{00000000-09DE-4693-B029-98F58D0F4717}"/>
            </c:ext>
          </c:extLst>
        </c:ser>
        <c:dLbls>
          <c:showLegendKey val="0"/>
          <c:showVal val="0"/>
          <c:showCatName val="0"/>
          <c:showSerName val="0"/>
          <c:showPercent val="0"/>
          <c:showBubbleSize val="0"/>
        </c:dLbls>
        <c:gapWidth val="150"/>
        <c:axId val="95089200"/>
        <c:axId val="95090640"/>
      </c:barChart>
      <c:catAx>
        <c:axId val="9508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0640"/>
        <c:crosses val="autoZero"/>
        <c:auto val="1"/>
        <c:lblAlgn val="ctr"/>
        <c:lblOffset val="100"/>
        <c:noMultiLvlLbl val="0"/>
      </c:catAx>
      <c:valAx>
        <c:axId val="950906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8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[Excel_Dirty_Data.xlsx]Pivot Table!PivotTable9</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Table'!$A$50:$A$62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Table'!$B$50:$B$62</c:f>
              <c:numCache>
                <c:formatCode>0.0</c:formatCode>
                <c:ptCount val="12"/>
                <c:pt idx="0">
                  <c:v>2399.75</c:v>
                </c:pt>
                <c:pt idx="1">
                  <c:v>3550.1000000000004</c:v>
                </c:pt>
                <c:pt idx="2">
                  <c:v>1200.1499999999999</c:v>
                </c:pt>
                <c:pt idx="3">
                  <c:v>2749.85</c:v>
                </c:pt>
                <c:pt idx="4">
                  <c:v>1900.1</c:v>
                </c:pt>
                <c:pt idx="5">
                  <c:v>1499.85</c:v>
                </c:pt>
                <c:pt idx="6">
                  <c:v>1950</c:v>
                </c:pt>
                <c:pt idx="7">
                  <c:v>2300.0500000000002</c:v>
                </c:pt>
                <c:pt idx="8">
                  <c:v>2349.9</c:v>
                </c:pt>
                <c:pt idx="9">
                  <c:v>700</c:v>
                </c:pt>
                <c:pt idx="10">
                  <c:v>2800.05</c:v>
                </c:pt>
                <c:pt idx="11">
                  <c:v>3000</c:v>
                </c:pt>
              </c:numCache>
            </c:numRef>
          </c:val>
          <c:smooth val="0"/>
          <c:extLst>
            <c:ext xmlns:c16="http://schemas.microsoft.com/office/drawing/2014/chart" uri="{C3380CC4-5D6E-409C-BE32-E72D297353CC}">
              <c16:uniqueId val="{00000000-9355-4538-8A77-665D5EFC75D2}"/>
            </c:ext>
          </c:extLst>
        </c:ser>
        <c:dLbls>
          <c:showLegendKey val="0"/>
          <c:showVal val="0"/>
          <c:showCatName val="0"/>
          <c:showSerName val="0"/>
          <c:showPercent val="0"/>
          <c:showBubbleSize val="0"/>
        </c:dLbls>
        <c:marker val="1"/>
        <c:smooth val="0"/>
        <c:axId val="1408817040"/>
        <c:axId val="1892252352"/>
      </c:lineChart>
      <c:catAx>
        <c:axId val="14088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252352"/>
        <c:crosses val="autoZero"/>
        <c:auto val="1"/>
        <c:lblAlgn val="ctr"/>
        <c:lblOffset val="100"/>
        <c:noMultiLvlLbl val="0"/>
      </c:catAx>
      <c:valAx>
        <c:axId val="18922523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66887</xdr:colOff>
      <xdr:row>2</xdr:row>
      <xdr:rowOff>38947</xdr:rowOff>
    </xdr:from>
    <xdr:to>
      <xdr:col>15</xdr:col>
      <xdr:colOff>317500</xdr:colOff>
      <xdr:row>15</xdr:row>
      <xdr:rowOff>128482</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7950A3C9-7CC5-0389-2FEB-FC52E7B1C28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709487" y="411480"/>
              <a:ext cx="1825413"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45719</xdr:colOff>
      <xdr:row>8</xdr:row>
      <xdr:rowOff>74507</xdr:rowOff>
    </xdr:from>
    <xdr:to>
      <xdr:col>12</xdr:col>
      <xdr:colOff>452119</xdr:colOff>
      <xdr:row>18</xdr:row>
      <xdr:rowOff>169333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18862FB-4E46-7B2D-29FE-7A3B27DC66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72586" y="1564640"/>
              <a:ext cx="1828800" cy="1957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34712</xdr:colOff>
      <xdr:row>2</xdr:row>
      <xdr:rowOff>10160</xdr:rowOff>
    </xdr:from>
    <xdr:to>
      <xdr:col>12</xdr:col>
      <xdr:colOff>441112</xdr:colOff>
      <xdr:row>8</xdr:row>
      <xdr:rowOff>25400</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BD5BFA5F-AE38-3607-9047-23BABE4DA5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61579" y="382693"/>
              <a:ext cx="1828800" cy="1132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16</xdr:row>
      <xdr:rowOff>16933</xdr:rowOff>
    </xdr:from>
    <xdr:to>
      <xdr:col>15</xdr:col>
      <xdr:colOff>368300</xdr:colOff>
      <xdr:row>29</xdr:row>
      <xdr:rowOff>62442</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60E9CD40-C7AE-D9C2-283B-1C9920045F5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563100" y="2997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25400</xdr:colOff>
      <xdr:row>19</xdr:row>
      <xdr:rowOff>143933</xdr:rowOff>
    </xdr:from>
    <xdr:to>
      <xdr:col>12</xdr:col>
      <xdr:colOff>431800</xdr:colOff>
      <xdr:row>33</xdr:row>
      <xdr:rowOff>47201</xdr:rowOff>
    </xdr:to>
    <mc:AlternateContent xmlns:mc="http://schemas.openxmlformats.org/markup-compatibility/2006">
      <mc:Choice xmlns:a14="http://schemas.microsoft.com/office/drawing/2010/main" Requires="a14">
        <xdr:graphicFrame macro="">
          <xdr:nvGraphicFramePr>
            <xdr:cNvPr id="26" name="Rating 2">
              <a:extLst>
                <a:ext uri="{FF2B5EF4-FFF2-40B4-BE49-F238E27FC236}">
                  <a16:creationId xmlns:a16="http://schemas.microsoft.com/office/drawing/2014/main" id="{0F667F9B-463F-4F9B-A9E4-713C38F9B998}"/>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7552267" y="3683000"/>
              <a:ext cx="1828800" cy="251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27</xdr:row>
      <xdr:rowOff>24342</xdr:rowOff>
    </xdr:from>
    <xdr:to>
      <xdr:col>15</xdr:col>
      <xdr:colOff>0</xdr:colOff>
      <xdr:row>42</xdr:row>
      <xdr:rowOff>85725</xdr:rowOff>
    </xdr:to>
    <xdr:graphicFrame macro="">
      <xdr:nvGraphicFramePr>
        <xdr:cNvPr id="2" name="Chart 6">
          <a:extLst>
            <a:ext uri="{FF2B5EF4-FFF2-40B4-BE49-F238E27FC236}">
              <a16:creationId xmlns:a16="http://schemas.microsoft.com/office/drawing/2014/main" id="{DBC7C491-CF30-77CD-8016-60081AF47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606425</xdr:colOff>
      <xdr:row>10</xdr:row>
      <xdr:rowOff>1694</xdr:rowOff>
    </xdr:from>
    <xdr:to>
      <xdr:col>15</xdr:col>
      <xdr:colOff>9525</xdr:colOff>
      <xdr:row>24</xdr:row>
      <xdr:rowOff>152400</xdr:rowOff>
    </xdr:to>
    <xdr:graphicFrame macro="">
      <xdr:nvGraphicFramePr>
        <xdr:cNvPr id="3" name="Chart 7">
          <a:extLst>
            <a:ext uri="{FF2B5EF4-FFF2-40B4-BE49-F238E27FC236}">
              <a16:creationId xmlns:a16="http://schemas.microsoft.com/office/drawing/2014/main" id="{7C818EC7-9375-56BA-AB37-26AD5DC05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xdr:colOff>
      <xdr:row>9</xdr:row>
      <xdr:rowOff>180763</xdr:rowOff>
    </xdr:from>
    <xdr:to>
      <xdr:col>24</xdr:col>
      <xdr:colOff>9525</xdr:colOff>
      <xdr:row>24</xdr:row>
      <xdr:rowOff>161925</xdr:rowOff>
    </xdr:to>
    <xdr:graphicFrame macro="">
      <xdr:nvGraphicFramePr>
        <xdr:cNvPr id="4" name="Chart 8">
          <a:extLst>
            <a:ext uri="{FF2B5EF4-FFF2-40B4-BE49-F238E27FC236}">
              <a16:creationId xmlns:a16="http://schemas.microsoft.com/office/drawing/2014/main" id="{957F1BE8-39F5-295E-0E43-FA04920DC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124883</xdr:colOff>
      <xdr:row>20</xdr:row>
      <xdr:rowOff>16087</xdr:rowOff>
    </xdr:from>
    <xdr:to>
      <xdr:col>6</xdr:col>
      <xdr:colOff>121496</xdr:colOff>
      <xdr:row>33</xdr:row>
      <xdr:rowOff>174414</xdr:rowOff>
    </xdr:to>
    <mc:AlternateContent xmlns:mc="http://schemas.openxmlformats.org/markup-compatibility/2006">
      <mc:Choice xmlns:a14="http://schemas.microsoft.com/office/drawing/2010/main" Requires="a14">
        <xdr:graphicFrame macro="">
          <xdr:nvGraphicFramePr>
            <xdr:cNvPr id="6" name="Name 1">
              <a:extLst>
                <a:ext uri="{FF2B5EF4-FFF2-40B4-BE49-F238E27FC236}">
                  <a16:creationId xmlns:a16="http://schemas.microsoft.com/office/drawing/2014/main" id="{8C8177FF-72E0-45E5-99F2-F0EE1EB1A0F4}"/>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1953683" y="3673687"/>
              <a:ext cx="1825413"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133349</xdr:colOff>
      <xdr:row>9</xdr:row>
      <xdr:rowOff>37890</xdr:rowOff>
    </xdr:from>
    <xdr:to>
      <xdr:col>6</xdr:col>
      <xdr:colOff>133349</xdr:colOff>
      <xdr:row>19</xdr:row>
      <xdr:rowOff>142876</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654141B7-DC7C-4E28-B26E-0B6E866A6E1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62149" y="1704765"/>
              <a:ext cx="1828800" cy="1914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16</xdr:row>
      <xdr:rowOff>129117</xdr:rowOff>
    </xdr:from>
    <xdr:to>
      <xdr:col>3</xdr:col>
      <xdr:colOff>57150</xdr:colOff>
      <xdr:row>30</xdr:row>
      <xdr:rowOff>106468</xdr:rowOff>
    </xdr:to>
    <mc:AlternateContent xmlns:mc="http://schemas.openxmlformats.org/markup-compatibility/2006">
      <mc:Choice xmlns:a14="http://schemas.microsoft.com/office/drawing/2010/main" Requires="a14">
        <xdr:graphicFrame macro="">
          <xdr:nvGraphicFramePr>
            <xdr:cNvPr id="8" name="Rating 1">
              <a:extLst>
                <a:ext uri="{FF2B5EF4-FFF2-40B4-BE49-F238E27FC236}">
                  <a16:creationId xmlns:a16="http://schemas.microsoft.com/office/drawing/2014/main" id="{DD83FBC3-1904-4068-8AAA-88CF0734E2F9}"/>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57150" y="3062817"/>
              <a:ext cx="1828800" cy="251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28575</xdr:rowOff>
    </xdr:from>
    <xdr:to>
      <xdr:col>3</xdr:col>
      <xdr:colOff>47625</xdr:colOff>
      <xdr:row>15</xdr:row>
      <xdr:rowOff>160233</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25EEBF2C-46BB-4A2B-B061-8AE6F1D12F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7625" y="1695450"/>
              <a:ext cx="1828800" cy="1217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11641</xdr:colOff>
      <xdr:row>27</xdr:row>
      <xdr:rowOff>32808</xdr:rowOff>
    </xdr:from>
    <xdr:to>
      <xdr:col>24</xdr:col>
      <xdr:colOff>0</xdr:colOff>
      <xdr:row>42</xdr:row>
      <xdr:rowOff>85725</xdr:rowOff>
    </xdr:to>
    <xdr:graphicFrame macro="">
      <xdr:nvGraphicFramePr>
        <xdr:cNvPr id="11" name="Chart 24">
          <a:extLst>
            <a:ext uri="{FF2B5EF4-FFF2-40B4-BE49-F238E27FC236}">
              <a16:creationId xmlns:a16="http://schemas.microsoft.com/office/drawing/2014/main" id="{F25E4BA5-7EC1-4088-C74D-50D9C273C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31</xdr:row>
      <xdr:rowOff>47625</xdr:rowOff>
    </xdr:from>
    <xdr:to>
      <xdr:col>3</xdr:col>
      <xdr:colOff>47625</xdr:colOff>
      <xdr:row>44</xdr:row>
      <xdr:rowOff>161925</xdr:rowOff>
    </xdr:to>
    <mc:AlternateContent xmlns:mc="http://schemas.openxmlformats.org/markup-compatibility/2006">
      <mc:Choice xmlns:a14="http://schemas.microsoft.com/office/drawing/2010/main" Requires="a14">
        <xdr:graphicFrame macro="">
          <xdr:nvGraphicFramePr>
            <xdr:cNvPr id="12" name="Product 1">
              <a:extLst>
                <a:ext uri="{FF2B5EF4-FFF2-40B4-BE49-F238E27FC236}">
                  <a16:creationId xmlns:a16="http://schemas.microsoft.com/office/drawing/2014/main" id="{DE26AFDE-1842-4267-B726-6E772C2960C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7625" y="569595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228600</xdr:colOff>
      <xdr:row>5</xdr:row>
      <xdr:rowOff>1</xdr:rowOff>
    </xdr:from>
    <xdr:to>
      <xdr:col>11</xdr:col>
      <xdr:colOff>589586</xdr:colOff>
      <xdr:row>7</xdr:row>
      <xdr:rowOff>171451</xdr:rowOff>
    </xdr:to>
    <xdr:sp macro="" textlink="'Pivot Table'!E16">
      <xdr:nvSpPr>
        <xdr:cNvPr id="14" name="Rectangle 13">
          <a:extLst>
            <a:ext uri="{FF2B5EF4-FFF2-40B4-BE49-F238E27FC236}">
              <a16:creationId xmlns:a16="http://schemas.microsoft.com/office/drawing/2014/main" id="{3AFF2436-0571-4A70-B28C-90765592AA6F}"/>
            </a:ext>
          </a:extLst>
        </xdr:cNvPr>
        <xdr:cNvSpPr/>
      </xdr:nvSpPr>
      <xdr:spPr>
        <a:xfrm>
          <a:off x="5105400" y="942976"/>
          <a:ext cx="2189786" cy="53340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BD22D33-75B0-4E39-A50F-37B3B5193E7D}" type="TxLink">
            <a:rPr lang="en-US" sz="1600" b="0" i="0" u="none" strike="noStrike">
              <a:solidFill>
                <a:srgbClr val="000000"/>
              </a:solidFill>
              <a:latin typeface="Calibri"/>
              <a:ea typeface="Calibri"/>
              <a:cs typeface="Calibri"/>
            </a:rPr>
            <a:t>26399.8</a:t>
          </a:fld>
          <a:endParaRPr lang="en-US" sz="2800"/>
        </a:p>
      </xdr:txBody>
    </xdr:sp>
    <xdr:clientData/>
  </xdr:twoCellAnchor>
  <xdr:twoCellAnchor>
    <xdr:from>
      <xdr:col>8</xdr:col>
      <xdr:colOff>234205</xdr:colOff>
      <xdr:row>5</xdr:row>
      <xdr:rowOff>8042</xdr:rowOff>
    </xdr:from>
    <xdr:to>
      <xdr:col>11</xdr:col>
      <xdr:colOff>538308</xdr:colOff>
      <xdr:row>6</xdr:row>
      <xdr:rowOff>68268</xdr:rowOff>
    </xdr:to>
    <xdr:sp macro="" textlink="">
      <xdr:nvSpPr>
        <xdr:cNvPr id="15" name="TextBox 14">
          <a:extLst>
            <a:ext uri="{FF2B5EF4-FFF2-40B4-BE49-F238E27FC236}">
              <a16:creationId xmlns:a16="http://schemas.microsoft.com/office/drawing/2014/main" id="{4363ECCD-CE13-4CE6-87FE-BB771B1FC192}"/>
            </a:ext>
          </a:extLst>
        </xdr:cNvPr>
        <xdr:cNvSpPr txBox="1"/>
      </xdr:nvSpPr>
      <xdr:spPr>
        <a:xfrm>
          <a:off x="5111005" y="951017"/>
          <a:ext cx="2132903" cy="2412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SALES</a:t>
          </a:r>
        </a:p>
      </xdr:txBody>
    </xdr:sp>
    <xdr:clientData/>
  </xdr:twoCellAnchor>
  <xdr:twoCellAnchor>
    <xdr:from>
      <xdr:col>16</xdr:col>
      <xdr:colOff>504825</xdr:colOff>
      <xdr:row>5</xdr:row>
      <xdr:rowOff>9525</xdr:rowOff>
    </xdr:from>
    <xdr:to>
      <xdr:col>20</xdr:col>
      <xdr:colOff>27611</xdr:colOff>
      <xdr:row>8</xdr:row>
      <xdr:rowOff>0</xdr:rowOff>
    </xdr:to>
    <xdr:sp macro="" textlink="'Pivot Table'!E13">
      <xdr:nvSpPr>
        <xdr:cNvPr id="16" name="Rectangle 15">
          <a:extLst>
            <a:ext uri="{FF2B5EF4-FFF2-40B4-BE49-F238E27FC236}">
              <a16:creationId xmlns:a16="http://schemas.microsoft.com/office/drawing/2014/main" id="{BE59111F-B6B3-DF8F-A700-7CD0FDA7AAAE}"/>
            </a:ext>
          </a:extLst>
        </xdr:cNvPr>
        <xdr:cNvSpPr/>
      </xdr:nvSpPr>
      <xdr:spPr>
        <a:xfrm>
          <a:off x="10277475" y="952500"/>
          <a:ext cx="2227886" cy="586921"/>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7C5A32B-FFCE-4C27-B750-458E20EEA64E}" type="TxLink">
            <a:rPr lang="en-US" sz="1600" b="0" i="0" u="none" strike="noStrike">
              <a:solidFill>
                <a:srgbClr val="000000"/>
              </a:solidFill>
              <a:latin typeface="Calibri"/>
              <a:ea typeface="Calibri"/>
              <a:cs typeface="Calibri"/>
            </a:rPr>
            <a:t>965</a:t>
          </a:fld>
          <a:endParaRPr lang="en-US" sz="2800"/>
        </a:p>
      </xdr:txBody>
    </xdr:sp>
    <xdr:clientData/>
  </xdr:twoCellAnchor>
  <xdr:twoCellAnchor>
    <xdr:from>
      <xdr:col>16</xdr:col>
      <xdr:colOff>548530</xdr:colOff>
      <xdr:row>5</xdr:row>
      <xdr:rowOff>17567</xdr:rowOff>
    </xdr:from>
    <xdr:to>
      <xdr:col>19</xdr:col>
      <xdr:colOff>585933</xdr:colOff>
      <xdr:row>6</xdr:row>
      <xdr:rowOff>77793</xdr:rowOff>
    </xdr:to>
    <xdr:sp macro="" textlink="">
      <xdr:nvSpPr>
        <xdr:cNvPr id="17" name="TextBox 16">
          <a:extLst>
            <a:ext uri="{FF2B5EF4-FFF2-40B4-BE49-F238E27FC236}">
              <a16:creationId xmlns:a16="http://schemas.microsoft.com/office/drawing/2014/main" id="{5C6AC017-F488-D2D4-5719-C92319E1DD75}"/>
            </a:ext>
          </a:extLst>
        </xdr:cNvPr>
        <xdr:cNvSpPr txBox="1"/>
      </xdr:nvSpPr>
      <xdr:spPr>
        <a:xfrm>
          <a:off x="10321180" y="960542"/>
          <a:ext cx="2132903" cy="2412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Quantity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nday%20Ajibola\Downloads\Excel_Cleaning%20&amp;%20Dashboard%20Creation.xlsx" TargetMode="External"/><Relationship Id="rId1" Type="http://schemas.openxmlformats.org/officeDocument/2006/relationships/externalLinkPath" Target="/Users/Sunday%20Ajibola/Downloads/Excel_Cleaning%20&amp;%20Dashboard%20Cre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sheetName val="Cleaned_Data"/>
      <sheetName val="Pivot Table"/>
      <sheetName val="Dashboard"/>
    </sheetNames>
    <sheetDataSet>
      <sheetData sheetId="0" refreshError="1"/>
      <sheetData sheetId="1" refreshError="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na" refreshedDate="45991.365027546293" createdVersion="8" refreshedVersion="8" minRefreshableVersion="3" recordCount="28" xr:uid="{9F0DDBCC-4438-4BD3-8057-BBCF6E935681}">
  <cacheSource type="worksheet">
    <worksheetSource name="Cleaned_Data"/>
  </cacheSource>
  <cacheFields count="14">
    <cacheField name="Date" numFmtId="14">
      <sharedItems containsSemiMixedTypes="0" containsNonDate="0" containsDate="1" containsString="0" minDate="2021-01-31T00:00:00" maxDate="2023-05-01T00:00:00" count="28">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sharedItems>
      <fieldGroup par="13"/>
    </cacheField>
    <cacheField name="Year" numFmtId="0">
      <sharedItems containsSemiMixedTypes="0" containsString="0" containsNumber="1" containsInteger="1" minValue="2021" maxValue="2023" count="3">
        <n v="2021"/>
        <n v="2022"/>
        <n v="2023"/>
      </sharedItems>
    </cacheField>
    <cacheField name="ID" numFmtId="0">
      <sharedItems containsSemiMixedTypes="0" containsString="0" containsNumber="1" containsInteger="1" minValue="1" maxValue="28"/>
    </cacheField>
    <cacheField name="Name" numFmtId="0">
      <sharedItems count="26">
        <s v="John Smith"/>
        <s v="Jane Doe"/>
        <s v="Mike Tyson"/>
        <s v="Anna Belle"/>
        <s v="Chris P. Bacon"/>
        <s v="Peter Parker"/>
        <s v="Mary Jane"/>
        <s v="Bruce Wayne"/>
        <s v="Clark Kent"/>
        <s v="Diana Prince"/>
        <s v="Tony Stark"/>
        <s v="Steve Rogers"/>
        <s v="Natasha Romanoff"/>
        <s v="Bruce Banner"/>
        <s v="Nick Fury"/>
        <s v="Phil Coulson"/>
        <s v="Peggy Carter"/>
        <s v="Howard Stark"/>
        <s v="Hank Pym"/>
        <s v="Janet van Dyne"/>
        <s v="Kurt Busiek"/>
        <s v="George Perez"/>
        <s v="Roger Stern"/>
        <s v="Tom DeFalco"/>
        <s v="Loki Laufeyson"/>
        <s v="Thor Odinson"/>
      </sharedItems>
    </cacheField>
    <cacheField name="Region" numFmtId="0">
      <sharedItems count="6">
        <s v="North"/>
        <s v="East"/>
        <s v="West"/>
        <s v="South"/>
        <s v="Unknown"/>
        <s v="Asgard"/>
      </sharedItems>
    </cacheField>
    <cacheField name="Rating" numFmtId="0">
      <sharedItems count="8">
        <s v="Good"/>
        <s v="Excellent"/>
        <s v="Poor"/>
        <s v="Average"/>
        <s v="Mischief"/>
        <s v="Worthy"/>
        <s v="Spy"/>
        <s v="Leader"/>
      </sharedItems>
    </cacheField>
    <cacheField name="Product" numFmtId="0">
      <sharedItems count="28">
        <s v="Magic Wand"/>
        <s v="Unicorn Horn"/>
        <s v="Boxing Gloves"/>
        <s v="Fairy Dust"/>
        <s v="Bacon Scented Candle"/>
        <s v="Web Shooter"/>
        <s v="Potent Potion"/>
        <s v="Bat Signal"/>
        <s v="Glasses with X-ray Vision"/>
        <s v="Lasso of Truth"/>
        <s v="Iron Man Suit"/>
        <s v="Captain America Shield"/>
        <s v="Black Widow's Bite"/>
        <s v="Gamma Radiation Serum"/>
        <s v="Eye Patch"/>
        <s v="Agent ID Card"/>
        <s v="Vintage Pistol"/>
        <s v="Arc Reactor"/>
        <s v="Ant-Man Suit"/>
        <s v="Wasp's Wings"/>
        <s v="Comic Book"/>
        <s v="Drawing Pad"/>
        <s v="Notepads"/>
        <s v="Pen Set"/>
        <s v="Trickster's Hat"/>
        <s v="Mjolnir"/>
        <s v="Spy Kit"/>
        <s v="Leadership Manual"/>
      </sharedItems>
    </cacheField>
    <cacheField name="Quantity" numFmtId="1">
      <sharedItems containsSemiMixedTypes="0" containsString="0" containsNumber="1" containsInteger="1" minValue="0" maxValue="85"/>
    </cacheField>
    <cacheField name="Status" numFmtId="0">
      <sharedItems/>
    </cacheField>
    <cacheField name="Price Per Unit" numFmtId="2">
      <sharedItems containsString="0" containsBlank="1" containsNumber="1" minValue="10" maxValue="160"/>
    </cacheField>
    <cacheField name="Total Cost" numFmtId="165">
      <sharedItems containsSemiMixedTypes="0" containsString="0" containsNumber="1" minValue="0" maxValue="2499.85"/>
    </cacheField>
    <cacheField name="Months (Date)" numFmtId="0" databaseField="0">
      <fieldGroup base="0">
        <rangePr groupBy="months" startDate="2021-01-31T00:00:00" endDate="2023-05-01T00:00:00"/>
        <groupItems count="14">
          <s v="&lt;31/01/2021"/>
          <s v="Jan"/>
          <s v="Feb"/>
          <s v="Mar"/>
          <s v="Apr"/>
          <s v="May"/>
          <s v="Jun"/>
          <s v="Jul"/>
          <s v="Aug"/>
          <s v="Sept"/>
          <s v="Oct"/>
          <s v="Nov"/>
          <s v="Dec"/>
          <s v="&gt;01/05/2023"/>
        </groupItems>
      </fieldGroup>
    </cacheField>
    <cacheField name="Quarters (Date)" numFmtId="0" databaseField="0">
      <fieldGroup base="0">
        <rangePr groupBy="quarters" startDate="2021-01-31T00:00:00" endDate="2023-05-01T00:00:00"/>
        <groupItems count="6">
          <s v="&lt;31/01/2021"/>
          <s v="Qtr1"/>
          <s v="Qtr2"/>
          <s v="Qtr3"/>
          <s v="Qtr4"/>
          <s v="&gt;01/05/2023"/>
        </groupItems>
      </fieldGroup>
    </cacheField>
    <cacheField name="Years (Date)" numFmtId="0" databaseField="0">
      <fieldGroup base="0">
        <rangePr groupBy="years" startDate="2021-01-31T00:00:00" endDate="2023-05-01T00:00:00"/>
        <groupItems count="5">
          <s v="&lt;31/01/2021"/>
          <s v="2021"/>
          <s v="2022"/>
          <s v="2023"/>
          <s v="&gt;01/05/2023"/>
        </groupItems>
      </fieldGroup>
    </cacheField>
  </cacheFields>
  <extLst>
    <ext xmlns:x14="http://schemas.microsoft.com/office/spreadsheetml/2009/9/main" uri="{725AE2AE-9491-48be-B2B4-4EB974FC3084}">
      <x14:pivotCacheDefinition pivotCacheId="428434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1"/>
    <x v="0"/>
    <x v="0"/>
    <x v="0"/>
    <x v="0"/>
    <n v="10"/>
    <s v="Valid"/>
    <n v="20"/>
    <n v="200"/>
  </r>
  <r>
    <x v="1"/>
    <x v="0"/>
    <n v="2"/>
    <x v="1"/>
    <x v="1"/>
    <x v="1"/>
    <x v="1"/>
    <n v="15"/>
    <s v="Valid"/>
    <n v="10"/>
    <n v="150"/>
  </r>
  <r>
    <x v="2"/>
    <x v="0"/>
    <n v="3"/>
    <x v="2"/>
    <x v="2"/>
    <x v="2"/>
    <x v="2"/>
    <n v="0"/>
    <s v="Invalid Qty"/>
    <m/>
    <n v="0"/>
  </r>
  <r>
    <x v="3"/>
    <x v="0"/>
    <n v="4"/>
    <x v="3"/>
    <x v="3"/>
    <x v="3"/>
    <x v="3"/>
    <n v="25"/>
    <s v="Valid"/>
    <n v="10"/>
    <n v="250"/>
  </r>
  <r>
    <x v="4"/>
    <x v="0"/>
    <n v="5"/>
    <x v="4"/>
    <x v="1"/>
    <x v="0"/>
    <x v="4"/>
    <n v="30"/>
    <s v="Valid"/>
    <n v="16.670000000000002"/>
    <n v="500.1"/>
  </r>
  <r>
    <x v="5"/>
    <x v="0"/>
    <n v="6"/>
    <x v="5"/>
    <x v="4"/>
    <x v="1"/>
    <x v="5"/>
    <n v="0"/>
    <s v="Invalid Qty"/>
    <m/>
    <n v="0"/>
  </r>
  <r>
    <x v="6"/>
    <x v="0"/>
    <n v="7"/>
    <x v="6"/>
    <x v="2"/>
    <x v="2"/>
    <x v="6"/>
    <n v="35"/>
    <s v="Valid"/>
    <n v="10"/>
    <n v="350"/>
  </r>
  <r>
    <x v="7"/>
    <x v="0"/>
    <n v="8"/>
    <x v="7"/>
    <x v="3"/>
    <x v="3"/>
    <x v="7"/>
    <n v="40"/>
    <s v="Valid"/>
    <n v="15"/>
    <n v="600"/>
  </r>
  <r>
    <x v="8"/>
    <x v="0"/>
    <n v="9"/>
    <x v="8"/>
    <x v="1"/>
    <x v="0"/>
    <x v="8"/>
    <n v="45"/>
    <s v="Valid"/>
    <n v="12.22"/>
    <n v="549.9"/>
  </r>
  <r>
    <x v="9"/>
    <x v="0"/>
    <n v="10"/>
    <x v="9"/>
    <x v="0"/>
    <x v="1"/>
    <x v="9"/>
    <n v="50"/>
    <s v="Valid"/>
    <n v="14"/>
    <n v="700"/>
  </r>
  <r>
    <x v="10"/>
    <x v="0"/>
    <n v="11"/>
    <x v="10"/>
    <x v="2"/>
    <x v="2"/>
    <x v="10"/>
    <n v="5"/>
    <s v="Valid"/>
    <n v="160"/>
    <n v="800"/>
  </r>
  <r>
    <x v="11"/>
    <x v="0"/>
    <n v="12"/>
    <x v="11"/>
    <x v="3"/>
    <x v="3"/>
    <x v="11"/>
    <n v="20"/>
    <s v="Valid"/>
    <n v="45"/>
    <n v="900"/>
  </r>
  <r>
    <x v="12"/>
    <x v="1"/>
    <n v="13"/>
    <x v="12"/>
    <x v="1"/>
    <x v="0"/>
    <x v="12"/>
    <n v="0"/>
    <s v="Invalid Qty"/>
    <m/>
    <n v="0"/>
  </r>
  <r>
    <x v="13"/>
    <x v="1"/>
    <n v="14"/>
    <x v="13"/>
    <x v="4"/>
    <x v="1"/>
    <x v="13"/>
    <n v="30"/>
    <s v="Valid"/>
    <n v="36.67"/>
    <n v="1100.1000000000001"/>
  </r>
  <r>
    <x v="14"/>
    <x v="1"/>
    <n v="15"/>
    <x v="14"/>
    <x v="2"/>
    <x v="2"/>
    <x v="14"/>
    <n v="35"/>
    <s v="Valid"/>
    <n v="34.29"/>
    <n v="1200.1499999999999"/>
  </r>
  <r>
    <x v="15"/>
    <x v="1"/>
    <n v="16"/>
    <x v="15"/>
    <x v="4"/>
    <x v="3"/>
    <x v="15"/>
    <n v="0"/>
    <s v="Invalid Qty"/>
    <m/>
    <n v="0"/>
  </r>
  <r>
    <x v="16"/>
    <x v="1"/>
    <n v="17"/>
    <x v="16"/>
    <x v="1"/>
    <x v="0"/>
    <x v="16"/>
    <n v="40"/>
    <s v="Valid"/>
    <n v="35"/>
    <n v="1400"/>
  </r>
  <r>
    <x v="17"/>
    <x v="1"/>
    <n v="18"/>
    <x v="17"/>
    <x v="0"/>
    <x v="1"/>
    <x v="17"/>
    <n v="45"/>
    <s v="Valid"/>
    <n v="33.33"/>
    <n v="1499.85"/>
  </r>
  <r>
    <x v="18"/>
    <x v="1"/>
    <n v="19"/>
    <x v="18"/>
    <x v="2"/>
    <x v="2"/>
    <x v="18"/>
    <n v="50"/>
    <s v="Valid"/>
    <n v="32"/>
    <n v="1600"/>
  </r>
  <r>
    <x v="19"/>
    <x v="1"/>
    <n v="20"/>
    <x v="19"/>
    <x v="3"/>
    <x v="3"/>
    <x v="19"/>
    <n v="55"/>
    <s v="Valid"/>
    <n v="30.91"/>
    <n v="1700.05"/>
  </r>
  <r>
    <x v="20"/>
    <x v="1"/>
    <n v="21"/>
    <x v="20"/>
    <x v="1"/>
    <x v="0"/>
    <x v="20"/>
    <n v="60"/>
    <s v="Valid"/>
    <n v="30"/>
    <n v="1800"/>
  </r>
  <r>
    <x v="21"/>
    <x v="1"/>
    <n v="22"/>
    <x v="21"/>
    <x v="0"/>
    <x v="1"/>
    <x v="21"/>
    <n v="0"/>
    <s v="Invalid Qty"/>
    <m/>
    <n v="0"/>
  </r>
  <r>
    <x v="22"/>
    <x v="1"/>
    <n v="23"/>
    <x v="22"/>
    <x v="2"/>
    <x v="2"/>
    <x v="22"/>
    <n v="65"/>
    <s v="Valid"/>
    <n v="30.77"/>
    <n v="2000.05"/>
  </r>
  <r>
    <x v="23"/>
    <x v="1"/>
    <n v="24"/>
    <x v="23"/>
    <x v="3"/>
    <x v="3"/>
    <x v="23"/>
    <n v="70"/>
    <s v="Valid"/>
    <n v="30"/>
    <n v="2100"/>
  </r>
  <r>
    <x v="24"/>
    <x v="2"/>
    <n v="25"/>
    <x v="24"/>
    <x v="5"/>
    <x v="4"/>
    <x v="24"/>
    <n v="75"/>
    <s v="Valid"/>
    <n v="29.33"/>
    <n v="2199.75"/>
  </r>
  <r>
    <x v="25"/>
    <x v="2"/>
    <n v="26"/>
    <x v="25"/>
    <x v="5"/>
    <x v="5"/>
    <x v="25"/>
    <n v="80"/>
    <s v="Valid"/>
    <n v="28.75"/>
    <n v="2300"/>
  </r>
  <r>
    <x v="26"/>
    <x v="2"/>
    <n v="27"/>
    <x v="12"/>
    <x v="1"/>
    <x v="6"/>
    <x v="26"/>
    <n v="0"/>
    <s v="Invalid Qty"/>
    <m/>
    <n v="0"/>
  </r>
  <r>
    <x v="27"/>
    <x v="2"/>
    <n v="28"/>
    <x v="11"/>
    <x v="3"/>
    <x v="7"/>
    <x v="27"/>
    <n v="85"/>
    <s v="Valid"/>
    <n v="29.41"/>
    <n v="2499.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BDE1D-1C64-4299-BD99-7B163CDF2542}" name="PivotTable9"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B62"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numFmtId="1" showAll="0"/>
    <pivotField showAll="0"/>
    <pivotField showAll="0"/>
    <pivotField dataField="1" numFmtId="165"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sd="0" x="1"/>
        <item sd="0" x="2"/>
        <item sd="0" x="3"/>
        <item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Cost" fld="10" baseField="0"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67988-5D5A-45E8-B12D-51EDEE2958A3}"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2"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68"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axis="axisRow"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dataField="1" numFmtId="1"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Quantity" fld="7" baseField="5"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F2029-5F10-404A-9E0D-388930029544}" name="PivotTable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0"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68"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axis="axisRow"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numFmtId="1"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i>
    <i>
      <x v="1"/>
    </i>
    <i>
      <x v="2"/>
    </i>
    <i>
      <x v="3"/>
    </i>
    <i>
      <x v="4"/>
    </i>
    <i>
      <x v="5"/>
    </i>
    <i t="grand">
      <x/>
    </i>
  </rowItems>
  <colItems count="1">
    <i/>
  </colItems>
  <dataFields count="1">
    <dataField name="Sum of Total Cost" fld="10" baseField="0" baseItem="0" numFmtId="165"/>
  </dataFields>
  <chartFormats count="1">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5F116-E3C6-44F6-917A-127B15CD214E}" name="PivotTable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32"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68"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axis="axisRow"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numFmtId="1"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Cost" fld="10" baseField="5"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4EBA8F-FC19-41E6-8C58-48A042B55C7A}"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5"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68"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axis="axisRow"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numFmtId="1"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Sum of Total Cos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823811-6E16-4295-83B4-0C2EBA0FA201}"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E45"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68"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axis="axisRow" dataField="1"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numFmtId="1"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Count of Ratin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59CE0C-22D5-41EE-907F-531424358AF6}" name="PivotTable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6:G40" firstHeaderRow="1" firstDataRow="1" firstDataCol="1"/>
  <pivotFields count="14">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6D80CE-33E1-40DC-B6AF-C55705548F77}" sourceName="Name">
  <pivotTables>
    <pivotTable tabId="12" name="PivotTable1"/>
    <pivotTable tabId="12" name="PivotTable2"/>
    <pivotTable tabId="12" name="PivotTable4"/>
    <pivotTable tabId="12" name="PivotTable3"/>
    <pivotTable tabId="12" name="PivotTable5"/>
    <pivotTable tabId="12" name="PivotTable6"/>
    <pivotTable tabId="12" name="PivotTable9"/>
  </pivotTables>
  <data>
    <tabular pivotCacheId="428434829">
      <items count="26">
        <i x="3" s="1"/>
        <i x="13" s="1"/>
        <i x="7" s="1"/>
        <i x="4" s="1"/>
        <i x="8" s="1"/>
        <i x="9" s="1"/>
        <i x="21" s="1"/>
        <i x="18" s="1"/>
        <i x="17" s="1"/>
        <i x="1" s="1"/>
        <i x="19" s="1"/>
        <i x="0" s="1"/>
        <i x="20" s="1"/>
        <i x="24" s="1"/>
        <i x="6" s="1"/>
        <i x="2" s="1"/>
        <i x="12" s="1"/>
        <i x="14" s="1"/>
        <i x="16" s="1"/>
        <i x="5" s="1"/>
        <i x="15" s="1"/>
        <i x="22" s="1"/>
        <i x="11" s="1"/>
        <i x="25" s="1"/>
        <i x="2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5F0F91-A551-4070-9FF9-977BA51EAB17}" sourceName="Region">
  <pivotTables>
    <pivotTable tabId="12" name="PivotTable1"/>
    <pivotTable tabId="12" name="PivotTable2"/>
    <pivotTable tabId="12" name="PivotTable4"/>
    <pivotTable tabId="12" name="PivotTable3"/>
    <pivotTable tabId="12" name="PivotTable5"/>
    <pivotTable tabId="12" name="PivotTable6"/>
    <pivotTable tabId="12" name="PivotTable9"/>
  </pivotTables>
  <data>
    <tabular pivotCacheId="428434829">
      <items count="6">
        <i x="5" s="1"/>
        <i x="1" s="1"/>
        <i x="0"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168A45C9-72F3-4D30-AD0E-565821840071}" sourceName="Rating">
  <pivotTables>
    <pivotTable tabId="12" name="PivotTable1"/>
    <pivotTable tabId="12" name="PivotTable2"/>
    <pivotTable tabId="12" name="PivotTable4"/>
    <pivotTable tabId="12" name="PivotTable3"/>
    <pivotTable tabId="12" name="PivotTable5"/>
    <pivotTable tabId="12" name="PivotTable6"/>
    <pivotTable tabId="12" name="PivotTable9"/>
  </pivotTables>
  <data>
    <tabular pivotCacheId="428434829">
      <items count="8">
        <i x="3" s="1"/>
        <i x="1" s="1"/>
        <i x="0" s="1"/>
        <i x="7" s="1"/>
        <i x="4" s="1"/>
        <i x="2"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C844B8-810A-48B1-86EC-E83C04557108}" sourceName="Year">
  <pivotTables>
    <pivotTable tabId="12" name="PivotTable6"/>
    <pivotTable tabId="12" name="PivotTable1"/>
    <pivotTable tabId="12" name="PivotTable2"/>
    <pivotTable tabId="12" name="PivotTable3"/>
    <pivotTable tabId="12" name="PivotTable5"/>
    <pivotTable tabId="12" name="PivotTable4"/>
    <pivotTable tabId="12" name="PivotTable9"/>
  </pivotTables>
  <data>
    <tabular pivotCacheId="42843482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411F2C-A9CD-41CE-9218-B94A2EDF936C}" sourceName="Product">
  <pivotTables>
    <pivotTable tabId="12" name="PivotTable4"/>
    <pivotTable tabId="12" name="PivotTable1"/>
    <pivotTable tabId="12" name="PivotTable2"/>
    <pivotTable tabId="12" name="PivotTable3"/>
    <pivotTable tabId="12" name="PivotTable5"/>
    <pivotTable tabId="12" name="PivotTable6"/>
    <pivotTable tabId="12" name="PivotTable9"/>
  </pivotTables>
  <data>
    <tabular pivotCacheId="428434829">
      <items count="28">
        <i x="15" s="1"/>
        <i x="18" s="1"/>
        <i x="17" s="1"/>
        <i x="4" s="1"/>
        <i x="7" s="1"/>
        <i x="12" s="1"/>
        <i x="2" s="1"/>
        <i x="11" s="1"/>
        <i x="20" s="1"/>
        <i x="21" s="1"/>
        <i x="14" s="1"/>
        <i x="3" s="1"/>
        <i x="13" s="1"/>
        <i x="8" s="1"/>
        <i x="10" s="1"/>
        <i x="9" s="1"/>
        <i x="27" s="1"/>
        <i x="0" s="1"/>
        <i x="25" s="1"/>
        <i x="22" s="1"/>
        <i x="23" s="1"/>
        <i x="6" s="1"/>
        <i x="26" s="1"/>
        <i x="24" s="1"/>
        <i x="1" s="1"/>
        <i x="16" s="1"/>
        <i x="1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D8B9F6E8-8604-4C28-903A-A017AC25F483}" cache="Slicer_Name" caption="Name" rowHeight="234950"/>
  <slicer name="Region" xr10:uid="{63D6D108-B74D-4585-B047-3D273BD34590}" cache="Slicer_Region" caption="Region" rowHeight="234950"/>
  <slicer name="Rating 2" xr10:uid="{77513D24-49A4-463E-B1D0-CFE92D35B28B}" cache="Slicer_Rating" caption="Rating" rowHeight="234950"/>
  <slicer name="Year" xr10:uid="{14754B33-EB4E-4ECF-8462-3D260BC92D10}" cache="Slicer_Year" caption="Year" rowHeight="234950"/>
  <slicer name="Product" xr10:uid="{405B2ACA-9061-4CD5-AB72-2242C1D5C38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C5517E30-FA48-43BB-B9BD-204C22AD3E9D}" cache="Slicer_Name" caption="Name" rowHeight="234950"/>
  <slicer name="Region 1" xr10:uid="{3040473A-8456-4173-A2AB-45613C3269DB}" cache="Slicer_Region" caption="Region" rowHeight="234950"/>
  <slicer name="Rating 1" xr10:uid="{80A11A8A-2A0B-43E2-87CF-699D1FB514D6}" cache="Slicer_Rating" caption="Rating" rowHeight="234950"/>
  <slicer name="Year 1" xr10:uid="{5722E9BB-1122-42CF-B92B-AA1B8C656A12}" cache="Slicer_Year" caption="Year" rowHeight="234950"/>
  <slicer name="Product 1" xr10:uid="{A9E4BED4-65D9-473D-939A-20EA7DBB5B03}"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296E96-992B-4512-959D-17399021B59C}" name="Cleaned_Data" displayName="Cleaned_Data" ref="A1:K29" totalsRowShown="0">
  <autoFilter ref="A1:K29" xr:uid="{C05C6C8D-24FF-4573-81BF-0A14A5C521A8}"/>
  <tableColumns count="11">
    <tableColumn id="1" xr3:uid="{83A2C145-9D5B-497B-B3AC-2CA43F5462B2}" name="Date" dataDxfId="2"/>
    <tableColumn id="15" xr3:uid="{BD80CFED-BE45-4184-BF1D-6CD602FC2224}" name="Year" dataDxfId="0"/>
    <tableColumn id="2" xr3:uid="{783DAD56-F202-487F-AFC2-4515B3822C73}" name="ID" dataDxfId="1"/>
    <tableColumn id="3" xr3:uid="{E7D842BB-F0CD-46FD-8FA1-75F5ADCCD18B}" name="Name" dataDxfId="10"/>
    <tableColumn id="4" xr3:uid="{25D7470F-AAA7-4D0B-B048-464BC9D4BF50}" name="Region" dataDxfId="9"/>
    <tableColumn id="5" xr3:uid="{C7A022BF-0657-47EF-AAAA-E38F2C47AE7E}" name="Rating" dataDxfId="8"/>
    <tableColumn id="6" xr3:uid="{91B62796-A748-4CC0-9F71-889B0D4EB679}" name="Product" dataDxfId="7"/>
    <tableColumn id="7" xr3:uid="{B4B1DF0C-0FCC-4568-A3DA-18176961EE25}" name="Quantity" dataDxfId="6"/>
    <tableColumn id="8" xr3:uid="{EA412894-22B3-4D42-91B6-1F7ED4F46AE9}" name="Status" dataDxfId="5">
      <calculatedColumnFormula>IF(H2=0, "Invalid Qty", "Valid")</calculatedColumnFormula>
    </tableColumn>
    <tableColumn id="9" xr3:uid="{F8E88C6D-1FA3-4884-AAEA-E8C57F1EBDCB}" name="Price Per Unit" dataDxfId="4"/>
    <tableColumn id="10" xr3:uid="{F6790EB0-0608-4928-9D7E-CB8961C69581}" name="Total Cost" dataDxfId="3">
      <calculatedColumnFormula>J2*H2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9445-17DE-4A17-9A0C-1D9F0D234EEC}">
  <sheetPr codeName="Sheet1"/>
  <dimension ref="A1:H32"/>
  <sheetViews>
    <sheetView workbookViewId="0">
      <selection activeCell="C18" sqref="C18"/>
    </sheetView>
  </sheetViews>
  <sheetFormatPr defaultRowHeight="14.4" x14ac:dyDescent="0.3"/>
  <cols>
    <col min="1" max="1" width="10.88671875" customWidth="1"/>
    <col min="2" max="2" width="3" bestFit="1" customWidth="1"/>
    <col min="3" max="3" width="17.5546875" bestFit="1" customWidth="1"/>
    <col min="4" max="4" width="7.21875" bestFit="1" customWidth="1"/>
    <col min="5" max="5" width="8.5546875" bestFit="1" customWidth="1"/>
    <col min="6" max="6" width="23.44140625" bestFit="1" customWidth="1"/>
    <col min="7" max="7" width="8.77734375" bestFit="1" customWidth="1"/>
    <col min="8" max="8" width="13.21875" bestFit="1" customWidth="1"/>
  </cols>
  <sheetData>
    <row r="1" spans="1:8" x14ac:dyDescent="0.3">
      <c r="A1" s="1" t="s">
        <v>0</v>
      </c>
      <c r="B1" s="1" t="s">
        <v>1</v>
      </c>
      <c r="C1" s="1" t="s">
        <v>2</v>
      </c>
      <c r="D1" s="1" t="s">
        <v>3</v>
      </c>
      <c r="E1" s="1" t="s">
        <v>4</v>
      </c>
      <c r="F1" s="1" t="s">
        <v>5</v>
      </c>
      <c r="G1" s="1" t="s">
        <v>6</v>
      </c>
      <c r="H1" s="1" t="s">
        <v>7</v>
      </c>
    </row>
    <row r="2" spans="1:8" ht="10.050000000000001" customHeight="1" x14ac:dyDescent="0.3">
      <c r="A2" s="2">
        <v>44227</v>
      </c>
      <c r="B2" s="3">
        <v>1</v>
      </c>
      <c r="C2" s="3" t="s">
        <v>8</v>
      </c>
      <c r="D2" s="3" t="s">
        <v>9</v>
      </c>
      <c r="E2" s="3" t="s">
        <v>10</v>
      </c>
      <c r="F2" s="3" t="s">
        <v>11</v>
      </c>
      <c r="G2" s="3">
        <v>10</v>
      </c>
      <c r="H2" s="4">
        <v>20</v>
      </c>
    </row>
    <row r="3" spans="1:8" ht="10.050000000000001" customHeight="1" x14ac:dyDescent="0.3">
      <c r="A3" s="2">
        <v>44255</v>
      </c>
      <c r="B3" s="3">
        <v>2</v>
      </c>
      <c r="C3" s="3" t="s">
        <v>12</v>
      </c>
      <c r="D3" s="3" t="s">
        <v>13</v>
      </c>
      <c r="E3" s="3" t="s">
        <v>14</v>
      </c>
      <c r="F3" s="3" t="s">
        <v>15</v>
      </c>
      <c r="G3" s="3">
        <v>15</v>
      </c>
      <c r="H3" s="4">
        <v>10</v>
      </c>
    </row>
    <row r="4" spans="1:8" ht="10.050000000000001" customHeight="1" x14ac:dyDescent="0.3">
      <c r="A4" s="2">
        <v>44286</v>
      </c>
      <c r="B4" s="3">
        <v>3</v>
      </c>
      <c r="C4" s="3" t="s">
        <v>16</v>
      </c>
      <c r="D4" s="3" t="s">
        <v>17</v>
      </c>
      <c r="E4" s="3" t="s">
        <v>18</v>
      </c>
      <c r="F4" s="3" t="s">
        <v>19</v>
      </c>
      <c r="G4" s="3">
        <v>0</v>
      </c>
      <c r="H4" s="3" t="s">
        <v>20</v>
      </c>
    </row>
    <row r="5" spans="1:8" ht="10.050000000000001" customHeight="1" x14ac:dyDescent="0.3">
      <c r="A5" s="2">
        <v>44316</v>
      </c>
      <c r="B5" s="3">
        <v>4</v>
      </c>
      <c r="C5" s="3" t="s">
        <v>21</v>
      </c>
      <c r="D5" s="3" t="s">
        <v>22</v>
      </c>
      <c r="E5" s="3" t="s">
        <v>23</v>
      </c>
      <c r="F5" s="3" t="s">
        <v>24</v>
      </c>
      <c r="G5" s="3">
        <v>25</v>
      </c>
      <c r="H5" s="4">
        <v>10</v>
      </c>
    </row>
    <row r="6" spans="1:8" x14ac:dyDescent="0.3">
      <c r="A6" s="2">
        <v>44347</v>
      </c>
      <c r="B6" s="3">
        <v>5</v>
      </c>
      <c r="C6" s="3" t="s">
        <v>25</v>
      </c>
      <c r="D6" s="3" t="s">
        <v>13</v>
      </c>
      <c r="E6" s="3" t="s">
        <v>10</v>
      </c>
      <c r="F6" s="3" t="s">
        <v>26</v>
      </c>
      <c r="G6" s="3">
        <v>30</v>
      </c>
      <c r="H6" s="4">
        <v>16.670000000000002</v>
      </c>
    </row>
    <row r="7" spans="1:8" x14ac:dyDescent="0.3">
      <c r="A7" s="2">
        <v>44377</v>
      </c>
      <c r="B7" s="3">
        <v>6</v>
      </c>
      <c r="C7" s="3" t="s">
        <v>27</v>
      </c>
      <c r="D7" s="3"/>
      <c r="E7" s="3" t="s">
        <v>14</v>
      </c>
      <c r="F7" s="3" t="s">
        <v>28</v>
      </c>
      <c r="G7" s="3">
        <v>0</v>
      </c>
      <c r="H7" s="3" t="s">
        <v>20</v>
      </c>
    </row>
    <row r="8" spans="1:8" x14ac:dyDescent="0.3">
      <c r="A8" s="2">
        <v>44408</v>
      </c>
      <c r="B8" s="3">
        <v>7</v>
      </c>
      <c r="C8" s="3" t="s">
        <v>29</v>
      </c>
      <c r="D8" s="3" t="s">
        <v>17</v>
      </c>
      <c r="E8" s="3" t="s">
        <v>18</v>
      </c>
      <c r="F8" s="3" t="s">
        <v>30</v>
      </c>
      <c r="G8" s="3">
        <v>35</v>
      </c>
      <c r="H8" s="4">
        <v>10</v>
      </c>
    </row>
    <row r="9" spans="1:8" x14ac:dyDescent="0.3">
      <c r="A9" s="2">
        <v>44439</v>
      </c>
      <c r="B9" s="3">
        <v>8</v>
      </c>
      <c r="C9" s="3" t="s">
        <v>31</v>
      </c>
      <c r="D9" s="3" t="s">
        <v>22</v>
      </c>
      <c r="E9" s="3" t="s">
        <v>23</v>
      </c>
      <c r="F9" s="3" t="s">
        <v>32</v>
      </c>
      <c r="G9" s="3">
        <v>40</v>
      </c>
      <c r="H9" s="4">
        <v>15</v>
      </c>
    </row>
    <row r="10" spans="1:8" x14ac:dyDescent="0.3">
      <c r="A10" s="2">
        <v>44469</v>
      </c>
      <c r="B10" s="3">
        <v>9</v>
      </c>
      <c r="C10" s="3" t="s">
        <v>33</v>
      </c>
      <c r="D10" s="3" t="s">
        <v>13</v>
      </c>
      <c r="E10" s="3" t="s">
        <v>10</v>
      </c>
      <c r="F10" s="3" t="s">
        <v>34</v>
      </c>
      <c r="G10" s="3">
        <v>45</v>
      </c>
      <c r="H10" s="4">
        <v>12.22</v>
      </c>
    </row>
    <row r="11" spans="1:8" ht="10.050000000000001" customHeight="1" x14ac:dyDescent="0.3">
      <c r="A11" s="2">
        <v>44500</v>
      </c>
      <c r="B11" s="3">
        <v>10</v>
      </c>
      <c r="C11" s="3" t="s">
        <v>35</v>
      </c>
      <c r="D11" s="3" t="s">
        <v>9</v>
      </c>
      <c r="E11" s="3" t="s">
        <v>14</v>
      </c>
      <c r="F11" s="3" t="s">
        <v>36</v>
      </c>
      <c r="G11" s="3">
        <v>50</v>
      </c>
      <c r="H11" s="4">
        <v>14</v>
      </c>
    </row>
    <row r="12" spans="1:8" ht="10.050000000000001" customHeight="1" x14ac:dyDescent="0.3">
      <c r="A12" s="2">
        <v>44530</v>
      </c>
      <c r="B12" s="3">
        <v>11</v>
      </c>
      <c r="C12" s="3" t="s">
        <v>37</v>
      </c>
      <c r="D12" s="3" t="s">
        <v>17</v>
      </c>
      <c r="E12" s="3" t="s">
        <v>18</v>
      </c>
      <c r="F12" s="3" t="s">
        <v>38</v>
      </c>
      <c r="G12" s="3">
        <v>5</v>
      </c>
      <c r="H12" s="4">
        <v>160</v>
      </c>
    </row>
    <row r="13" spans="1:8" ht="10.050000000000001" customHeight="1" x14ac:dyDescent="0.3">
      <c r="A13" s="2">
        <v>44561</v>
      </c>
      <c r="B13" s="3">
        <v>12</v>
      </c>
      <c r="C13" s="3" t="s">
        <v>39</v>
      </c>
      <c r="D13" s="3" t="s">
        <v>22</v>
      </c>
      <c r="E13" s="3" t="s">
        <v>23</v>
      </c>
      <c r="F13" s="3" t="s">
        <v>40</v>
      </c>
      <c r="G13" s="3">
        <v>20</v>
      </c>
      <c r="H13" s="4">
        <v>45</v>
      </c>
    </row>
    <row r="14" spans="1:8" ht="20.100000000000001" customHeight="1" x14ac:dyDescent="0.3">
      <c r="A14" s="2">
        <v>44592</v>
      </c>
      <c r="B14" s="3">
        <v>13</v>
      </c>
      <c r="C14" s="3" t="s">
        <v>41</v>
      </c>
      <c r="D14" s="3" t="s">
        <v>13</v>
      </c>
      <c r="E14" s="3" t="s">
        <v>10</v>
      </c>
      <c r="F14" s="3" t="s">
        <v>42</v>
      </c>
      <c r="G14" s="3">
        <v>0</v>
      </c>
      <c r="H14" s="3" t="s">
        <v>20</v>
      </c>
    </row>
    <row r="15" spans="1:8" ht="20.100000000000001" customHeight="1" x14ac:dyDescent="0.3">
      <c r="A15" s="2">
        <v>44620</v>
      </c>
      <c r="B15" s="3">
        <v>14</v>
      </c>
      <c r="C15" s="3" t="s">
        <v>43</v>
      </c>
      <c r="D15" s="3"/>
      <c r="E15" s="3" t="s">
        <v>14</v>
      </c>
      <c r="F15" s="3" t="s">
        <v>44</v>
      </c>
      <c r="G15" s="3">
        <v>30</v>
      </c>
      <c r="H15" s="4">
        <v>36.67</v>
      </c>
    </row>
    <row r="16" spans="1:8" ht="20.100000000000001" customHeight="1" x14ac:dyDescent="0.3">
      <c r="A16" s="2">
        <v>44316</v>
      </c>
      <c r="B16" s="3">
        <v>4</v>
      </c>
      <c r="C16" s="3" t="s">
        <v>21</v>
      </c>
      <c r="D16" s="3" t="s">
        <v>22</v>
      </c>
      <c r="E16" s="3" t="s">
        <v>23</v>
      </c>
      <c r="F16" s="3" t="s">
        <v>24</v>
      </c>
      <c r="G16" s="3">
        <v>25</v>
      </c>
      <c r="H16" s="4">
        <v>10</v>
      </c>
    </row>
    <row r="17" spans="1:8" ht="20.100000000000001" customHeight="1" x14ac:dyDescent="0.3">
      <c r="A17" s="2">
        <v>44347</v>
      </c>
      <c r="B17" s="3">
        <v>5</v>
      </c>
      <c r="C17" s="3" t="s">
        <v>25</v>
      </c>
      <c r="D17" s="3" t="s">
        <v>13</v>
      </c>
      <c r="E17" s="3" t="s">
        <v>10</v>
      </c>
      <c r="F17" s="3" t="s">
        <v>26</v>
      </c>
      <c r="G17" s="3">
        <v>30</v>
      </c>
      <c r="H17" s="4">
        <v>16.670000000000002</v>
      </c>
    </row>
    <row r="18" spans="1:8" ht="20.100000000000001" customHeight="1" x14ac:dyDescent="0.3">
      <c r="A18" s="2">
        <v>44377</v>
      </c>
      <c r="B18" s="3">
        <v>6</v>
      </c>
      <c r="C18" s="3" t="s">
        <v>27</v>
      </c>
      <c r="D18" s="3"/>
      <c r="E18" s="3" t="s">
        <v>14</v>
      </c>
      <c r="F18" s="3" t="s">
        <v>28</v>
      </c>
      <c r="G18" s="3">
        <v>0</v>
      </c>
      <c r="H18" s="3" t="s">
        <v>20</v>
      </c>
    </row>
    <row r="19" spans="1:8" ht="20.100000000000001" customHeight="1" x14ac:dyDescent="0.3">
      <c r="A19" s="2">
        <v>44651</v>
      </c>
      <c r="B19" s="3">
        <v>15</v>
      </c>
      <c r="C19" s="3" t="s">
        <v>45</v>
      </c>
      <c r="D19" s="3" t="s">
        <v>17</v>
      </c>
      <c r="E19" s="3" t="s">
        <v>18</v>
      </c>
      <c r="F19" s="3" t="s">
        <v>46</v>
      </c>
      <c r="G19" s="3">
        <v>35</v>
      </c>
      <c r="H19" s="4">
        <v>34.29</v>
      </c>
    </row>
    <row r="20" spans="1:8" ht="20.100000000000001" customHeight="1" x14ac:dyDescent="0.3">
      <c r="A20" s="2">
        <v>44681</v>
      </c>
      <c r="B20" s="3">
        <v>16</v>
      </c>
      <c r="C20" s="3" t="s">
        <v>47</v>
      </c>
      <c r="D20" s="3"/>
      <c r="E20" s="3" t="s">
        <v>23</v>
      </c>
      <c r="F20" s="3" t="s">
        <v>48</v>
      </c>
      <c r="G20" s="3">
        <v>0</v>
      </c>
      <c r="H20" s="3" t="s">
        <v>20</v>
      </c>
    </row>
    <row r="21" spans="1:8" ht="20.100000000000001" customHeight="1" x14ac:dyDescent="0.3">
      <c r="A21" s="2">
        <v>44712</v>
      </c>
      <c r="B21" s="3">
        <v>17</v>
      </c>
      <c r="C21" s="3" t="s">
        <v>49</v>
      </c>
      <c r="D21" s="3" t="s">
        <v>13</v>
      </c>
      <c r="E21" s="3" t="s">
        <v>10</v>
      </c>
      <c r="F21" s="3" t="s">
        <v>50</v>
      </c>
      <c r="G21" s="3">
        <v>40</v>
      </c>
      <c r="H21" s="4">
        <v>35</v>
      </c>
    </row>
    <row r="22" spans="1:8" ht="20.100000000000001" customHeight="1" x14ac:dyDescent="0.3">
      <c r="A22" s="2">
        <v>44742</v>
      </c>
      <c r="B22" s="3">
        <v>18</v>
      </c>
      <c r="C22" s="3" t="s">
        <v>51</v>
      </c>
      <c r="D22" s="3" t="s">
        <v>9</v>
      </c>
      <c r="E22" s="3" t="s">
        <v>14</v>
      </c>
      <c r="F22" s="3" t="s">
        <v>52</v>
      </c>
      <c r="G22" s="3">
        <v>45</v>
      </c>
      <c r="H22" s="4">
        <v>33.33</v>
      </c>
    </row>
    <row r="23" spans="1:8" ht="20.100000000000001" customHeight="1" x14ac:dyDescent="0.3">
      <c r="A23" s="2">
        <v>44773</v>
      </c>
      <c r="B23" s="3">
        <v>19</v>
      </c>
      <c r="C23" s="3" t="s">
        <v>53</v>
      </c>
      <c r="D23" s="3" t="s">
        <v>17</v>
      </c>
      <c r="E23" s="3" t="s">
        <v>18</v>
      </c>
      <c r="F23" s="3" t="s">
        <v>54</v>
      </c>
      <c r="G23" s="3">
        <v>50</v>
      </c>
      <c r="H23" s="4">
        <v>32</v>
      </c>
    </row>
    <row r="24" spans="1:8" ht="20.100000000000001" customHeight="1" x14ac:dyDescent="0.3">
      <c r="A24" s="2">
        <v>44804</v>
      </c>
      <c r="B24" s="3">
        <v>20</v>
      </c>
      <c r="C24" s="3" t="s">
        <v>55</v>
      </c>
      <c r="D24" s="3" t="s">
        <v>22</v>
      </c>
      <c r="E24" s="3" t="s">
        <v>23</v>
      </c>
      <c r="F24" s="3" t="s">
        <v>56</v>
      </c>
      <c r="G24" s="3">
        <v>55</v>
      </c>
      <c r="H24" s="4">
        <v>30.91</v>
      </c>
    </row>
    <row r="25" spans="1:8" ht="20.100000000000001" customHeight="1" x14ac:dyDescent="0.3">
      <c r="A25" s="2">
        <v>44834</v>
      </c>
      <c r="B25" s="3">
        <v>21</v>
      </c>
      <c r="C25" s="3" t="s">
        <v>57</v>
      </c>
      <c r="D25" s="3" t="s">
        <v>13</v>
      </c>
      <c r="E25" s="3" t="s">
        <v>10</v>
      </c>
      <c r="F25" s="3" t="s">
        <v>58</v>
      </c>
      <c r="G25" s="3">
        <v>60</v>
      </c>
      <c r="H25" s="4">
        <v>30</v>
      </c>
    </row>
    <row r="26" spans="1:8" ht="20.100000000000001" customHeight="1" x14ac:dyDescent="0.3">
      <c r="A26" s="2">
        <v>44865</v>
      </c>
      <c r="B26" s="3">
        <v>22</v>
      </c>
      <c r="C26" s="3" t="s">
        <v>59</v>
      </c>
      <c r="D26" s="3" t="s">
        <v>9</v>
      </c>
      <c r="E26" s="3" t="s">
        <v>14</v>
      </c>
      <c r="F26" s="3" t="s">
        <v>60</v>
      </c>
      <c r="G26" s="3">
        <v>0</v>
      </c>
      <c r="H26" s="3" t="s">
        <v>20</v>
      </c>
    </row>
    <row r="27" spans="1:8" ht="20.100000000000001" customHeight="1" x14ac:dyDescent="0.3">
      <c r="A27" s="2">
        <v>44895</v>
      </c>
      <c r="B27" s="3">
        <v>23</v>
      </c>
      <c r="C27" s="3" t="s">
        <v>61</v>
      </c>
      <c r="D27" s="3" t="s">
        <v>17</v>
      </c>
      <c r="E27" s="3" t="s">
        <v>18</v>
      </c>
      <c r="F27" s="3" t="s">
        <v>62</v>
      </c>
      <c r="G27" s="3">
        <v>65</v>
      </c>
      <c r="H27" s="4">
        <v>30.77</v>
      </c>
    </row>
    <row r="28" spans="1:8" ht="20.100000000000001" customHeight="1" x14ac:dyDescent="0.3">
      <c r="A28" s="2">
        <v>44926</v>
      </c>
      <c r="B28" s="3">
        <v>24</v>
      </c>
      <c r="C28" s="3" t="s">
        <v>63</v>
      </c>
      <c r="D28" s="3" t="s">
        <v>22</v>
      </c>
      <c r="E28" s="3" t="s">
        <v>23</v>
      </c>
      <c r="F28" s="3" t="s">
        <v>64</v>
      </c>
      <c r="G28" s="3">
        <v>70</v>
      </c>
      <c r="H28" s="4">
        <v>30</v>
      </c>
    </row>
    <row r="29" spans="1:8" ht="20.100000000000001" customHeight="1" x14ac:dyDescent="0.3">
      <c r="A29" s="2">
        <v>44957</v>
      </c>
      <c r="B29" s="3">
        <v>25</v>
      </c>
      <c r="C29" s="3" t="s">
        <v>65</v>
      </c>
      <c r="D29" s="3" t="s">
        <v>66</v>
      </c>
      <c r="E29" s="3" t="s">
        <v>67</v>
      </c>
      <c r="F29" s="3" t="s">
        <v>68</v>
      </c>
      <c r="G29" s="3">
        <v>75</v>
      </c>
      <c r="H29" s="4">
        <v>29.33</v>
      </c>
    </row>
    <row r="30" spans="1:8" ht="20.100000000000001" customHeight="1" x14ac:dyDescent="0.3">
      <c r="A30" s="2">
        <v>44985</v>
      </c>
      <c r="B30" s="3">
        <v>26</v>
      </c>
      <c r="C30" s="3" t="s">
        <v>69</v>
      </c>
      <c r="D30" s="3" t="s">
        <v>66</v>
      </c>
      <c r="E30" s="3" t="s">
        <v>70</v>
      </c>
      <c r="F30" s="3" t="s">
        <v>71</v>
      </c>
      <c r="G30" s="3">
        <v>80</v>
      </c>
      <c r="H30" s="4">
        <v>28.75</v>
      </c>
    </row>
    <row r="31" spans="1:8" ht="20.100000000000001" customHeight="1" x14ac:dyDescent="0.3">
      <c r="A31" s="2">
        <v>45016</v>
      </c>
      <c r="B31" s="3">
        <v>27</v>
      </c>
      <c r="C31" s="3" t="s">
        <v>41</v>
      </c>
      <c r="D31" s="3" t="s">
        <v>13</v>
      </c>
      <c r="E31" s="3" t="s">
        <v>72</v>
      </c>
      <c r="F31" s="3" t="s">
        <v>73</v>
      </c>
      <c r="G31" s="3">
        <v>0</v>
      </c>
      <c r="H31" s="3" t="s">
        <v>20</v>
      </c>
    </row>
    <row r="32" spans="1:8" ht="20.100000000000001" customHeight="1" x14ac:dyDescent="0.3">
      <c r="A32" s="2">
        <v>45046</v>
      </c>
      <c r="B32" s="3">
        <v>28</v>
      </c>
      <c r="C32" s="3" t="s">
        <v>39</v>
      </c>
      <c r="D32" s="3" t="s">
        <v>22</v>
      </c>
      <c r="E32" s="3" t="s">
        <v>74</v>
      </c>
      <c r="F32" s="3" t="s">
        <v>75</v>
      </c>
      <c r="G32" s="3">
        <v>85</v>
      </c>
      <c r="H32" s="4">
        <v>29.41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6C8D-24FF-4573-81BF-0A14A5C521A8}">
  <sheetPr codeName="Sheet2"/>
  <dimension ref="A1:K29"/>
  <sheetViews>
    <sheetView workbookViewId="0">
      <selection activeCell="B2" sqref="B2"/>
    </sheetView>
  </sheetViews>
  <sheetFormatPr defaultRowHeight="14.4" x14ac:dyDescent="0.3"/>
  <cols>
    <col min="1" max="1" width="15.6640625" style="7" bestFit="1" customWidth="1"/>
    <col min="2" max="2" width="15.6640625" style="7" customWidth="1"/>
    <col min="3" max="3" width="5.109375" customWidth="1"/>
    <col min="4" max="4" width="16.5546875" bestFit="1" customWidth="1"/>
    <col min="5" max="5" width="8.77734375" bestFit="1" customWidth="1"/>
    <col min="6" max="6" width="8.21875" customWidth="1"/>
    <col min="7" max="7" width="21.44140625" bestFit="1" customWidth="1"/>
    <col min="8" max="8" width="12" style="15" customWidth="1"/>
    <col min="9" max="9" width="9.6640625" bestFit="1" customWidth="1"/>
    <col min="10" max="10" width="16.21875" style="10" customWidth="1"/>
    <col min="11" max="11" width="12.44140625" style="12" customWidth="1"/>
  </cols>
  <sheetData>
    <row r="1" spans="1:11" x14ac:dyDescent="0.3">
      <c r="A1" s="5" t="s">
        <v>0</v>
      </c>
      <c r="B1" s="5" t="s">
        <v>93</v>
      </c>
      <c r="C1" s="1" t="s">
        <v>1</v>
      </c>
      <c r="D1" s="1" t="s">
        <v>2</v>
      </c>
      <c r="E1" s="1" t="s">
        <v>3</v>
      </c>
      <c r="F1" s="1" t="s">
        <v>4</v>
      </c>
      <c r="G1" s="1" t="s">
        <v>5</v>
      </c>
      <c r="H1" s="13" t="s">
        <v>6</v>
      </c>
      <c r="I1" s="1" t="s">
        <v>82</v>
      </c>
      <c r="J1" s="8" t="s">
        <v>7</v>
      </c>
      <c r="K1" s="11" t="s">
        <v>83</v>
      </c>
    </row>
    <row r="2" spans="1:11" x14ac:dyDescent="0.3">
      <c r="A2" s="6">
        <v>44227</v>
      </c>
      <c r="B2" s="26">
        <v>2021</v>
      </c>
      <c r="C2" s="3">
        <v>1</v>
      </c>
      <c r="D2" s="3" t="s">
        <v>77</v>
      </c>
      <c r="E2" s="3" t="s">
        <v>9</v>
      </c>
      <c r="F2" s="3" t="s">
        <v>10</v>
      </c>
      <c r="G2" s="3" t="s">
        <v>11</v>
      </c>
      <c r="H2" s="14">
        <v>10</v>
      </c>
      <c r="I2" s="3" t="str">
        <f>IF(H2=0, "Invalid Qty", "Valid")</f>
        <v>Valid</v>
      </c>
      <c r="J2" s="9">
        <v>20</v>
      </c>
      <c r="K2" s="12">
        <f>J2*H2</f>
        <v>200</v>
      </c>
    </row>
    <row r="3" spans="1:11" x14ac:dyDescent="0.3">
      <c r="A3" s="6">
        <v>44255</v>
      </c>
      <c r="B3" s="26">
        <v>2021</v>
      </c>
      <c r="C3" s="3">
        <v>2</v>
      </c>
      <c r="D3" s="3" t="s">
        <v>12</v>
      </c>
      <c r="E3" s="3" t="s">
        <v>13</v>
      </c>
      <c r="F3" s="3" t="s">
        <v>81</v>
      </c>
      <c r="G3" s="3" t="s">
        <v>15</v>
      </c>
      <c r="H3" s="14">
        <v>15</v>
      </c>
      <c r="I3" s="3" t="str">
        <f t="shared" ref="I3:I29" si="0">IF(H3=0, "Invalid Qty", "Valid")</f>
        <v>Valid</v>
      </c>
      <c r="J3" s="9">
        <v>10</v>
      </c>
      <c r="K3" s="12">
        <f t="shared" ref="K3:K29" si="1">J3*H3</f>
        <v>150</v>
      </c>
    </row>
    <row r="4" spans="1:11" x14ac:dyDescent="0.3">
      <c r="A4" s="6">
        <v>44286</v>
      </c>
      <c r="B4" s="26">
        <v>2021</v>
      </c>
      <c r="C4" s="3">
        <v>3</v>
      </c>
      <c r="D4" s="3" t="s">
        <v>78</v>
      </c>
      <c r="E4" s="3" t="s">
        <v>17</v>
      </c>
      <c r="F4" s="3" t="s">
        <v>18</v>
      </c>
      <c r="G4" s="3" t="s">
        <v>19</v>
      </c>
      <c r="H4" s="14">
        <v>0</v>
      </c>
      <c r="I4" s="3" t="str">
        <f t="shared" si="0"/>
        <v>Invalid Qty</v>
      </c>
      <c r="J4" s="9"/>
      <c r="K4" s="12">
        <f t="shared" si="1"/>
        <v>0</v>
      </c>
    </row>
    <row r="5" spans="1:11" x14ac:dyDescent="0.3">
      <c r="A5" s="6">
        <v>44316</v>
      </c>
      <c r="B5" s="26">
        <v>2021</v>
      </c>
      <c r="C5" s="3">
        <v>4</v>
      </c>
      <c r="D5" s="3" t="s">
        <v>79</v>
      </c>
      <c r="E5" s="3" t="s">
        <v>22</v>
      </c>
      <c r="F5" s="3" t="s">
        <v>23</v>
      </c>
      <c r="G5" s="3" t="s">
        <v>24</v>
      </c>
      <c r="H5" s="14">
        <v>25</v>
      </c>
      <c r="I5" s="3" t="str">
        <f t="shared" si="0"/>
        <v>Valid</v>
      </c>
      <c r="J5" s="9">
        <v>10</v>
      </c>
      <c r="K5" s="12">
        <f t="shared" si="1"/>
        <v>250</v>
      </c>
    </row>
    <row r="6" spans="1:11" x14ac:dyDescent="0.3">
      <c r="A6" s="6">
        <v>44347</v>
      </c>
      <c r="B6" s="26">
        <v>2021</v>
      </c>
      <c r="C6" s="3">
        <v>5</v>
      </c>
      <c r="D6" s="3" t="s">
        <v>25</v>
      </c>
      <c r="E6" s="3" t="s">
        <v>13</v>
      </c>
      <c r="F6" s="3" t="s">
        <v>10</v>
      </c>
      <c r="G6" s="3" t="s">
        <v>26</v>
      </c>
      <c r="H6" s="14">
        <v>30</v>
      </c>
      <c r="I6" s="3" t="str">
        <f t="shared" si="0"/>
        <v>Valid</v>
      </c>
      <c r="J6" s="9">
        <v>16.670000000000002</v>
      </c>
      <c r="K6" s="12">
        <f t="shared" si="1"/>
        <v>500.1</v>
      </c>
    </row>
    <row r="7" spans="1:11" x14ac:dyDescent="0.3">
      <c r="A7" s="6">
        <v>44377</v>
      </c>
      <c r="B7" s="26">
        <v>2021</v>
      </c>
      <c r="C7" s="3">
        <v>6</v>
      </c>
      <c r="D7" s="3" t="s">
        <v>80</v>
      </c>
      <c r="E7" s="3" t="s">
        <v>76</v>
      </c>
      <c r="F7" s="3" t="s">
        <v>81</v>
      </c>
      <c r="G7" s="3" t="s">
        <v>28</v>
      </c>
      <c r="H7" s="14">
        <v>0</v>
      </c>
      <c r="I7" s="3" t="str">
        <f t="shared" si="0"/>
        <v>Invalid Qty</v>
      </c>
      <c r="J7" s="9"/>
      <c r="K7" s="12">
        <f t="shared" si="1"/>
        <v>0</v>
      </c>
    </row>
    <row r="8" spans="1:11" x14ac:dyDescent="0.3">
      <c r="A8" s="6">
        <v>44408</v>
      </c>
      <c r="B8" s="26">
        <v>2021</v>
      </c>
      <c r="C8" s="3">
        <v>7</v>
      </c>
      <c r="D8" s="3" t="s">
        <v>29</v>
      </c>
      <c r="E8" s="3" t="s">
        <v>17</v>
      </c>
      <c r="F8" s="3" t="s">
        <v>18</v>
      </c>
      <c r="G8" s="3" t="s">
        <v>30</v>
      </c>
      <c r="H8" s="14">
        <v>35</v>
      </c>
      <c r="I8" s="3" t="str">
        <f t="shared" si="0"/>
        <v>Valid</v>
      </c>
      <c r="J8" s="9">
        <v>10</v>
      </c>
      <c r="K8" s="12">
        <f t="shared" si="1"/>
        <v>350</v>
      </c>
    </row>
    <row r="9" spans="1:11" x14ac:dyDescent="0.3">
      <c r="A9" s="6">
        <v>44439</v>
      </c>
      <c r="B9" s="26">
        <v>2021</v>
      </c>
      <c r="C9" s="3">
        <v>8</v>
      </c>
      <c r="D9" s="3" t="s">
        <v>31</v>
      </c>
      <c r="E9" s="3" t="s">
        <v>22</v>
      </c>
      <c r="F9" s="3" t="s">
        <v>23</v>
      </c>
      <c r="G9" s="3" t="s">
        <v>32</v>
      </c>
      <c r="H9" s="14">
        <v>40</v>
      </c>
      <c r="I9" s="3" t="str">
        <f t="shared" si="0"/>
        <v>Valid</v>
      </c>
      <c r="J9" s="9">
        <v>15</v>
      </c>
      <c r="K9" s="12">
        <f t="shared" si="1"/>
        <v>600</v>
      </c>
    </row>
    <row r="10" spans="1:11" x14ac:dyDescent="0.3">
      <c r="A10" s="6">
        <v>44469</v>
      </c>
      <c r="B10" s="26">
        <v>2021</v>
      </c>
      <c r="C10" s="3">
        <v>9</v>
      </c>
      <c r="D10" s="3" t="s">
        <v>33</v>
      </c>
      <c r="E10" s="3" t="s">
        <v>13</v>
      </c>
      <c r="F10" s="3" t="s">
        <v>10</v>
      </c>
      <c r="G10" s="3" t="s">
        <v>34</v>
      </c>
      <c r="H10" s="14">
        <v>45</v>
      </c>
      <c r="I10" s="3" t="str">
        <f t="shared" si="0"/>
        <v>Valid</v>
      </c>
      <c r="J10" s="9">
        <v>12.22</v>
      </c>
      <c r="K10" s="12">
        <f t="shared" si="1"/>
        <v>549.9</v>
      </c>
    </row>
    <row r="11" spans="1:11" x14ac:dyDescent="0.3">
      <c r="A11" s="6">
        <v>44500</v>
      </c>
      <c r="B11" s="26">
        <v>2021</v>
      </c>
      <c r="C11" s="3">
        <v>10</v>
      </c>
      <c r="D11" s="3" t="s">
        <v>35</v>
      </c>
      <c r="E11" s="3" t="s">
        <v>9</v>
      </c>
      <c r="F11" s="3" t="s">
        <v>81</v>
      </c>
      <c r="G11" s="3" t="s">
        <v>36</v>
      </c>
      <c r="H11" s="14">
        <v>50</v>
      </c>
      <c r="I11" s="3" t="str">
        <f t="shared" si="0"/>
        <v>Valid</v>
      </c>
      <c r="J11" s="9">
        <v>14</v>
      </c>
      <c r="K11" s="12">
        <f t="shared" si="1"/>
        <v>700</v>
      </c>
    </row>
    <row r="12" spans="1:11" x14ac:dyDescent="0.3">
      <c r="A12" s="6">
        <v>44530</v>
      </c>
      <c r="B12" s="26">
        <v>2021</v>
      </c>
      <c r="C12" s="3">
        <v>11</v>
      </c>
      <c r="D12" s="3" t="s">
        <v>37</v>
      </c>
      <c r="E12" s="3" t="s">
        <v>17</v>
      </c>
      <c r="F12" s="3" t="s">
        <v>18</v>
      </c>
      <c r="G12" s="3" t="s">
        <v>38</v>
      </c>
      <c r="H12" s="14">
        <v>5</v>
      </c>
      <c r="I12" s="3" t="str">
        <f t="shared" si="0"/>
        <v>Valid</v>
      </c>
      <c r="J12" s="9">
        <v>160</v>
      </c>
      <c r="K12" s="12">
        <f t="shared" si="1"/>
        <v>800</v>
      </c>
    </row>
    <row r="13" spans="1:11" x14ac:dyDescent="0.3">
      <c r="A13" s="6">
        <v>44561</v>
      </c>
      <c r="B13" s="26">
        <v>2021</v>
      </c>
      <c r="C13" s="3">
        <v>12</v>
      </c>
      <c r="D13" s="3" t="s">
        <v>39</v>
      </c>
      <c r="E13" s="3" t="s">
        <v>22</v>
      </c>
      <c r="F13" s="3" t="s">
        <v>23</v>
      </c>
      <c r="G13" s="3" t="s">
        <v>40</v>
      </c>
      <c r="H13" s="14">
        <v>20</v>
      </c>
      <c r="I13" s="3" t="str">
        <f t="shared" si="0"/>
        <v>Valid</v>
      </c>
      <c r="J13" s="9">
        <v>45</v>
      </c>
      <c r="K13" s="12">
        <f t="shared" si="1"/>
        <v>900</v>
      </c>
    </row>
    <row r="14" spans="1:11" x14ac:dyDescent="0.3">
      <c r="A14" s="6">
        <v>44592</v>
      </c>
      <c r="B14" s="26">
        <v>2022</v>
      </c>
      <c r="C14" s="3">
        <v>13</v>
      </c>
      <c r="D14" s="3" t="s">
        <v>41</v>
      </c>
      <c r="E14" s="3" t="s">
        <v>13</v>
      </c>
      <c r="F14" s="3" t="s">
        <v>10</v>
      </c>
      <c r="G14" s="3" t="s">
        <v>42</v>
      </c>
      <c r="H14" s="14">
        <v>0</v>
      </c>
      <c r="I14" s="3" t="str">
        <f t="shared" si="0"/>
        <v>Invalid Qty</v>
      </c>
      <c r="J14" s="9"/>
      <c r="K14" s="12">
        <f t="shared" si="1"/>
        <v>0</v>
      </c>
    </row>
    <row r="15" spans="1:11" x14ac:dyDescent="0.3">
      <c r="A15" s="6">
        <v>44620</v>
      </c>
      <c r="B15" s="26">
        <v>2022</v>
      </c>
      <c r="C15" s="3">
        <v>14</v>
      </c>
      <c r="D15" s="3" t="s">
        <v>43</v>
      </c>
      <c r="E15" s="3" t="s">
        <v>76</v>
      </c>
      <c r="F15" s="3" t="s">
        <v>81</v>
      </c>
      <c r="G15" s="3" t="s">
        <v>44</v>
      </c>
      <c r="H15" s="14">
        <v>30</v>
      </c>
      <c r="I15" s="3" t="str">
        <f t="shared" si="0"/>
        <v>Valid</v>
      </c>
      <c r="J15" s="9">
        <v>36.67</v>
      </c>
      <c r="K15" s="12">
        <f t="shared" si="1"/>
        <v>1100.1000000000001</v>
      </c>
    </row>
    <row r="16" spans="1:11" x14ac:dyDescent="0.3">
      <c r="A16" s="6">
        <v>44651</v>
      </c>
      <c r="B16" s="26">
        <v>2022</v>
      </c>
      <c r="C16" s="3">
        <v>15</v>
      </c>
      <c r="D16" s="3" t="s">
        <v>45</v>
      </c>
      <c r="E16" s="3" t="s">
        <v>17</v>
      </c>
      <c r="F16" s="3" t="s">
        <v>18</v>
      </c>
      <c r="G16" s="3" t="s">
        <v>46</v>
      </c>
      <c r="H16" s="14">
        <v>35</v>
      </c>
      <c r="I16" s="3" t="str">
        <f t="shared" si="0"/>
        <v>Valid</v>
      </c>
      <c r="J16" s="9">
        <v>34.29</v>
      </c>
      <c r="K16" s="12">
        <f t="shared" si="1"/>
        <v>1200.1499999999999</v>
      </c>
    </row>
    <row r="17" spans="1:11" x14ac:dyDescent="0.3">
      <c r="A17" s="6">
        <v>44681</v>
      </c>
      <c r="B17" s="26">
        <v>2022</v>
      </c>
      <c r="C17" s="3">
        <v>16</v>
      </c>
      <c r="D17" s="3" t="s">
        <v>47</v>
      </c>
      <c r="E17" s="3" t="s">
        <v>76</v>
      </c>
      <c r="F17" s="3" t="s">
        <v>23</v>
      </c>
      <c r="G17" s="3" t="s">
        <v>48</v>
      </c>
      <c r="H17" s="14">
        <v>0</v>
      </c>
      <c r="I17" s="3" t="str">
        <f t="shared" si="0"/>
        <v>Invalid Qty</v>
      </c>
      <c r="J17" s="9"/>
      <c r="K17" s="12">
        <f t="shared" si="1"/>
        <v>0</v>
      </c>
    </row>
    <row r="18" spans="1:11" x14ac:dyDescent="0.3">
      <c r="A18" s="6">
        <v>44712</v>
      </c>
      <c r="B18" s="26">
        <v>2022</v>
      </c>
      <c r="C18" s="3">
        <v>17</v>
      </c>
      <c r="D18" s="3" t="s">
        <v>49</v>
      </c>
      <c r="E18" s="3" t="s">
        <v>13</v>
      </c>
      <c r="F18" s="3" t="s">
        <v>10</v>
      </c>
      <c r="G18" s="3" t="s">
        <v>50</v>
      </c>
      <c r="H18" s="14">
        <v>40</v>
      </c>
      <c r="I18" s="3" t="str">
        <f t="shared" si="0"/>
        <v>Valid</v>
      </c>
      <c r="J18" s="9">
        <v>35</v>
      </c>
      <c r="K18" s="12">
        <f t="shared" si="1"/>
        <v>1400</v>
      </c>
    </row>
    <row r="19" spans="1:11" x14ac:dyDescent="0.3">
      <c r="A19" s="6">
        <v>44742</v>
      </c>
      <c r="B19" s="26">
        <v>2022</v>
      </c>
      <c r="C19" s="3">
        <v>18</v>
      </c>
      <c r="D19" s="3" t="s">
        <v>51</v>
      </c>
      <c r="E19" s="3" t="s">
        <v>9</v>
      </c>
      <c r="F19" s="3" t="s">
        <v>81</v>
      </c>
      <c r="G19" s="3" t="s">
        <v>52</v>
      </c>
      <c r="H19" s="14">
        <v>45</v>
      </c>
      <c r="I19" s="3" t="str">
        <f t="shared" si="0"/>
        <v>Valid</v>
      </c>
      <c r="J19" s="9">
        <v>33.33</v>
      </c>
      <c r="K19" s="12">
        <f t="shared" si="1"/>
        <v>1499.85</v>
      </c>
    </row>
    <row r="20" spans="1:11" x14ac:dyDescent="0.3">
      <c r="A20" s="6">
        <v>44773</v>
      </c>
      <c r="B20" s="26">
        <v>2022</v>
      </c>
      <c r="C20" s="3">
        <v>19</v>
      </c>
      <c r="D20" s="3" t="s">
        <v>53</v>
      </c>
      <c r="E20" s="3" t="s">
        <v>17</v>
      </c>
      <c r="F20" s="3" t="s">
        <v>18</v>
      </c>
      <c r="G20" s="3" t="s">
        <v>54</v>
      </c>
      <c r="H20" s="14">
        <v>50</v>
      </c>
      <c r="I20" s="3" t="str">
        <f t="shared" si="0"/>
        <v>Valid</v>
      </c>
      <c r="J20" s="9">
        <v>32</v>
      </c>
      <c r="K20" s="12">
        <f t="shared" si="1"/>
        <v>1600</v>
      </c>
    </row>
    <row r="21" spans="1:11" x14ac:dyDescent="0.3">
      <c r="A21" s="6">
        <v>44804</v>
      </c>
      <c r="B21" s="26">
        <v>2022</v>
      </c>
      <c r="C21" s="3">
        <v>20</v>
      </c>
      <c r="D21" s="3" t="s">
        <v>55</v>
      </c>
      <c r="E21" s="3" t="s">
        <v>22</v>
      </c>
      <c r="F21" s="3" t="s">
        <v>23</v>
      </c>
      <c r="G21" s="3" t="s">
        <v>56</v>
      </c>
      <c r="H21" s="14">
        <v>55</v>
      </c>
      <c r="I21" s="3" t="str">
        <f t="shared" si="0"/>
        <v>Valid</v>
      </c>
      <c r="J21" s="9">
        <v>30.91</v>
      </c>
      <c r="K21" s="12">
        <f t="shared" si="1"/>
        <v>1700.05</v>
      </c>
    </row>
    <row r="22" spans="1:11" x14ac:dyDescent="0.3">
      <c r="A22" s="6">
        <v>44834</v>
      </c>
      <c r="B22" s="26">
        <v>2022</v>
      </c>
      <c r="C22" s="3">
        <v>21</v>
      </c>
      <c r="D22" s="3" t="s">
        <v>57</v>
      </c>
      <c r="E22" s="3" t="s">
        <v>13</v>
      </c>
      <c r="F22" s="3" t="s">
        <v>10</v>
      </c>
      <c r="G22" s="3" t="s">
        <v>58</v>
      </c>
      <c r="H22" s="14">
        <v>60</v>
      </c>
      <c r="I22" s="3" t="str">
        <f t="shared" si="0"/>
        <v>Valid</v>
      </c>
      <c r="J22" s="9">
        <v>30</v>
      </c>
      <c r="K22" s="12">
        <f t="shared" si="1"/>
        <v>1800</v>
      </c>
    </row>
    <row r="23" spans="1:11" x14ac:dyDescent="0.3">
      <c r="A23" s="6">
        <v>44865</v>
      </c>
      <c r="B23" s="26">
        <v>2022</v>
      </c>
      <c r="C23" s="3">
        <v>22</v>
      </c>
      <c r="D23" s="3" t="s">
        <v>59</v>
      </c>
      <c r="E23" s="3" t="s">
        <v>9</v>
      </c>
      <c r="F23" s="3" t="s">
        <v>81</v>
      </c>
      <c r="G23" s="3" t="s">
        <v>60</v>
      </c>
      <c r="H23" s="14">
        <v>0</v>
      </c>
      <c r="I23" s="3" t="str">
        <f t="shared" si="0"/>
        <v>Invalid Qty</v>
      </c>
      <c r="J23" s="9"/>
      <c r="K23" s="12">
        <f t="shared" si="1"/>
        <v>0</v>
      </c>
    </row>
    <row r="24" spans="1:11" x14ac:dyDescent="0.3">
      <c r="A24" s="6">
        <v>44895</v>
      </c>
      <c r="B24" s="26">
        <v>2022</v>
      </c>
      <c r="C24" s="3">
        <v>23</v>
      </c>
      <c r="D24" s="3" t="s">
        <v>61</v>
      </c>
      <c r="E24" s="3" t="s">
        <v>17</v>
      </c>
      <c r="F24" s="3" t="s">
        <v>18</v>
      </c>
      <c r="G24" s="3" t="s">
        <v>62</v>
      </c>
      <c r="H24" s="14">
        <v>65</v>
      </c>
      <c r="I24" s="3" t="str">
        <f t="shared" si="0"/>
        <v>Valid</v>
      </c>
      <c r="J24" s="9">
        <v>30.77</v>
      </c>
      <c r="K24" s="12">
        <f t="shared" si="1"/>
        <v>2000.05</v>
      </c>
    </row>
    <row r="25" spans="1:11" x14ac:dyDescent="0.3">
      <c r="A25" s="6">
        <v>44926</v>
      </c>
      <c r="B25" s="26">
        <v>2022</v>
      </c>
      <c r="C25" s="3">
        <v>24</v>
      </c>
      <c r="D25" s="3" t="s">
        <v>63</v>
      </c>
      <c r="E25" s="3" t="s">
        <v>22</v>
      </c>
      <c r="F25" s="3" t="s">
        <v>23</v>
      </c>
      <c r="G25" s="3" t="s">
        <v>64</v>
      </c>
      <c r="H25" s="14">
        <v>70</v>
      </c>
      <c r="I25" s="3" t="str">
        <f t="shared" si="0"/>
        <v>Valid</v>
      </c>
      <c r="J25" s="9">
        <v>30</v>
      </c>
      <c r="K25" s="12">
        <f t="shared" si="1"/>
        <v>2100</v>
      </c>
    </row>
    <row r="26" spans="1:11" x14ac:dyDescent="0.3">
      <c r="A26" s="6">
        <v>44957</v>
      </c>
      <c r="B26" s="26">
        <v>2023</v>
      </c>
      <c r="C26" s="3">
        <v>25</v>
      </c>
      <c r="D26" s="3" t="s">
        <v>65</v>
      </c>
      <c r="E26" s="3" t="s">
        <v>66</v>
      </c>
      <c r="F26" s="3" t="s">
        <v>67</v>
      </c>
      <c r="G26" s="3" t="s">
        <v>68</v>
      </c>
      <c r="H26" s="14">
        <v>75</v>
      </c>
      <c r="I26" s="3" t="str">
        <f t="shared" si="0"/>
        <v>Valid</v>
      </c>
      <c r="J26" s="9">
        <v>29.33</v>
      </c>
      <c r="K26" s="12">
        <f t="shared" si="1"/>
        <v>2199.75</v>
      </c>
    </row>
    <row r="27" spans="1:11" x14ac:dyDescent="0.3">
      <c r="A27" s="6">
        <v>44985</v>
      </c>
      <c r="B27" s="26">
        <v>2023</v>
      </c>
      <c r="C27" s="3">
        <v>26</v>
      </c>
      <c r="D27" s="3" t="s">
        <v>69</v>
      </c>
      <c r="E27" s="3" t="s">
        <v>66</v>
      </c>
      <c r="F27" s="3" t="s">
        <v>70</v>
      </c>
      <c r="G27" s="3" t="s">
        <v>71</v>
      </c>
      <c r="H27" s="14">
        <v>80</v>
      </c>
      <c r="I27" s="3" t="str">
        <f t="shared" si="0"/>
        <v>Valid</v>
      </c>
      <c r="J27" s="9">
        <v>28.75</v>
      </c>
      <c r="K27" s="12">
        <f t="shared" si="1"/>
        <v>2300</v>
      </c>
    </row>
    <row r="28" spans="1:11" x14ac:dyDescent="0.3">
      <c r="A28" s="6">
        <v>45016</v>
      </c>
      <c r="B28" s="26">
        <v>2023</v>
      </c>
      <c r="C28" s="3">
        <v>27</v>
      </c>
      <c r="D28" s="3" t="s">
        <v>41</v>
      </c>
      <c r="E28" s="3" t="s">
        <v>13</v>
      </c>
      <c r="F28" s="3" t="s">
        <v>72</v>
      </c>
      <c r="G28" s="3" t="s">
        <v>73</v>
      </c>
      <c r="H28" s="14">
        <v>0</v>
      </c>
      <c r="I28" s="3" t="str">
        <f t="shared" si="0"/>
        <v>Invalid Qty</v>
      </c>
      <c r="J28" s="9"/>
      <c r="K28" s="12">
        <f t="shared" si="1"/>
        <v>0</v>
      </c>
    </row>
    <row r="29" spans="1:11" x14ac:dyDescent="0.3">
      <c r="A29" s="6">
        <v>45046</v>
      </c>
      <c r="B29" s="26">
        <v>2023</v>
      </c>
      <c r="C29" s="3">
        <v>28</v>
      </c>
      <c r="D29" s="3" t="s">
        <v>39</v>
      </c>
      <c r="E29" s="3" t="s">
        <v>22</v>
      </c>
      <c r="F29" s="3" t="s">
        <v>74</v>
      </c>
      <c r="G29" s="3" t="s">
        <v>75</v>
      </c>
      <c r="H29" s="14">
        <v>85</v>
      </c>
      <c r="I29" s="3" t="str">
        <f t="shared" si="0"/>
        <v>Valid</v>
      </c>
      <c r="J29" s="9">
        <v>29.41</v>
      </c>
      <c r="K29" s="12">
        <f t="shared" si="1"/>
        <v>2499.85</v>
      </c>
    </row>
  </sheetData>
  <dataValidations count="1">
    <dataValidation type="whole" operator="greaterThan" allowBlank="1" showInputMessage="1" showErrorMessage="1" sqref="C2:C29" xr:uid="{98848D38-B102-4E1E-9D64-4A6EB6B93B59}">
      <formula1>1</formula1>
    </dataValidation>
  </dataValidations>
  <pageMargins left="0.7" right="0.7" top="0.75" bottom="0.75" header="0.3" footer="0.3"/>
  <ignoredErrors>
    <ignoredError sqref="C2" listDataValidatio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1EDE-CA03-4E6C-8F46-F374DC668FAF}">
  <dimension ref="A3:H62"/>
  <sheetViews>
    <sheetView topLeftCell="A16" zoomScale="90" zoomScaleNormal="90" workbookViewId="0">
      <selection activeCell="D16" sqref="D16"/>
    </sheetView>
  </sheetViews>
  <sheetFormatPr defaultRowHeight="14.4" x14ac:dyDescent="0.3"/>
  <cols>
    <col min="1" max="1" width="13.44140625" bestFit="1" customWidth="1"/>
    <col min="2" max="2" width="16.44140625" bestFit="1" customWidth="1"/>
    <col min="3" max="3" width="7.21875" bestFit="1" customWidth="1"/>
    <col min="4" max="4" width="13.44140625" bestFit="1" customWidth="1"/>
    <col min="5" max="5" width="14.6640625" bestFit="1" customWidth="1"/>
    <col min="6" max="6" width="7.21875" bestFit="1" customWidth="1"/>
    <col min="7" max="7" width="13.44140625" bestFit="1" customWidth="1"/>
    <col min="8" max="8" width="16.44140625" bestFit="1" customWidth="1"/>
    <col min="9" max="10" width="7.21875" bestFit="1" customWidth="1"/>
    <col min="11" max="11" width="6.109375" bestFit="1" customWidth="1"/>
    <col min="12" max="13" width="7.21875" bestFit="1" customWidth="1"/>
    <col min="14" max="14" width="11.21875" bestFit="1" customWidth="1"/>
    <col min="15" max="29" width="11.6640625" bestFit="1" customWidth="1"/>
    <col min="30" max="30" width="11.21875" bestFit="1" customWidth="1"/>
  </cols>
  <sheetData>
    <row r="3" spans="1:8" x14ac:dyDescent="0.3">
      <c r="A3" s="16" t="s">
        <v>84</v>
      </c>
      <c r="B3" t="s">
        <v>86</v>
      </c>
      <c r="D3" s="16" t="s">
        <v>84</v>
      </c>
      <c r="E3" t="s">
        <v>87</v>
      </c>
      <c r="G3" s="16" t="s">
        <v>84</v>
      </c>
      <c r="H3" t="s">
        <v>87</v>
      </c>
    </row>
    <row r="4" spans="1:8" x14ac:dyDescent="0.3">
      <c r="A4" s="17" t="s">
        <v>48</v>
      </c>
      <c r="B4" s="15">
        <v>0</v>
      </c>
      <c r="D4" s="17" t="s">
        <v>66</v>
      </c>
      <c r="E4" s="12">
        <v>4499.75</v>
      </c>
      <c r="G4" s="17" t="s">
        <v>48</v>
      </c>
      <c r="H4" s="12">
        <v>0</v>
      </c>
    </row>
    <row r="5" spans="1:8" x14ac:dyDescent="0.3">
      <c r="A5" s="17" t="s">
        <v>54</v>
      </c>
      <c r="B5" s="15">
        <v>50</v>
      </c>
      <c r="D5" s="17" t="s">
        <v>13</v>
      </c>
      <c r="E5" s="12">
        <v>4400</v>
      </c>
      <c r="G5" s="17" t="s">
        <v>54</v>
      </c>
      <c r="H5" s="12">
        <v>1600</v>
      </c>
    </row>
    <row r="6" spans="1:8" x14ac:dyDescent="0.3">
      <c r="A6" s="17" t="s">
        <v>52</v>
      </c>
      <c r="B6" s="15">
        <v>45</v>
      </c>
      <c r="D6" s="17" t="s">
        <v>9</v>
      </c>
      <c r="E6" s="12">
        <v>2399.85</v>
      </c>
      <c r="G6" s="17" t="s">
        <v>52</v>
      </c>
      <c r="H6" s="12">
        <v>1499.85</v>
      </c>
    </row>
    <row r="7" spans="1:8" x14ac:dyDescent="0.3">
      <c r="A7" s="17" t="s">
        <v>26</v>
      </c>
      <c r="B7" s="15">
        <v>30</v>
      </c>
      <c r="D7" s="17" t="s">
        <v>22</v>
      </c>
      <c r="E7" s="12">
        <v>8049.9</v>
      </c>
      <c r="G7" s="17" t="s">
        <v>26</v>
      </c>
      <c r="H7" s="12">
        <v>500.1</v>
      </c>
    </row>
    <row r="8" spans="1:8" x14ac:dyDescent="0.3">
      <c r="A8" s="17" t="s">
        <v>32</v>
      </c>
      <c r="B8" s="15">
        <v>40</v>
      </c>
      <c r="D8" s="17" t="s">
        <v>76</v>
      </c>
      <c r="E8" s="12">
        <v>1100.1000000000001</v>
      </c>
      <c r="G8" s="17" t="s">
        <v>32</v>
      </c>
      <c r="H8" s="12">
        <v>600</v>
      </c>
    </row>
    <row r="9" spans="1:8" x14ac:dyDescent="0.3">
      <c r="A9" s="17" t="s">
        <v>42</v>
      </c>
      <c r="B9" s="15">
        <v>0</v>
      </c>
      <c r="D9" s="17" t="s">
        <v>17</v>
      </c>
      <c r="E9" s="12">
        <v>5950.2</v>
      </c>
      <c r="G9" s="17" t="s">
        <v>42</v>
      </c>
      <c r="H9" s="12">
        <v>0</v>
      </c>
    </row>
    <row r="10" spans="1:8" x14ac:dyDescent="0.3">
      <c r="A10" s="17" t="s">
        <v>19</v>
      </c>
      <c r="B10" s="15">
        <v>0</v>
      </c>
      <c r="D10" s="17" t="s">
        <v>85</v>
      </c>
      <c r="E10" s="12">
        <v>26399.8</v>
      </c>
      <c r="G10" s="17" t="s">
        <v>19</v>
      </c>
      <c r="H10" s="12">
        <v>0</v>
      </c>
    </row>
    <row r="11" spans="1:8" x14ac:dyDescent="0.3">
      <c r="A11" s="17" t="s">
        <v>40</v>
      </c>
      <c r="B11" s="15">
        <v>20</v>
      </c>
      <c r="G11" s="17" t="s">
        <v>40</v>
      </c>
      <c r="H11" s="12">
        <v>900</v>
      </c>
    </row>
    <row r="12" spans="1:8" x14ac:dyDescent="0.3">
      <c r="A12" s="17" t="s">
        <v>58</v>
      </c>
      <c r="B12" s="15">
        <v>60</v>
      </c>
      <c r="G12" s="17" t="s">
        <v>58</v>
      </c>
      <c r="H12" s="12">
        <v>1800</v>
      </c>
    </row>
    <row r="13" spans="1:8" x14ac:dyDescent="0.3">
      <c r="A13" s="17" t="s">
        <v>60</v>
      </c>
      <c r="B13" s="15">
        <v>0</v>
      </c>
      <c r="D13" s="27" t="s">
        <v>109</v>
      </c>
      <c r="E13">
        <f>GETPIVOTDATA("Quantity",$A$3)</f>
        <v>965</v>
      </c>
      <c r="G13" s="17" t="s">
        <v>60</v>
      </c>
      <c r="H13" s="12">
        <v>0</v>
      </c>
    </row>
    <row r="14" spans="1:8" x14ac:dyDescent="0.3">
      <c r="A14" s="17" t="s">
        <v>46</v>
      </c>
      <c r="B14" s="15">
        <v>35</v>
      </c>
      <c r="G14" s="17" t="s">
        <v>46</v>
      </c>
      <c r="H14" s="12">
        <v>1200.1499999999999</v>
      </c>
    </row>
    <row r="15" spans="1:8" x14ac:dyDescent="0.3">
      <c r="A15" s="17" t="s">
        <v>24</v>
      </c>
      <c r="B15" s="15">
        <v>25</v>
      </c>
      <c r="G15" s="17" t="s">
        <v>24</v>
      </c>
      <c r="H15" s="12">
        <v>250</v>
      </c>
    </row>
    <row r="16" spans="1:8" x14ac:dyDescent="0.3">
      <c r="A16" s="17" t="s">
        <v>44</v>
      </c>
      <c r="B16" s="15">
        <v>30</v>
      </c>
      <c r="D16" s="28" t="s">
        <v>108</v>
      </c>
      <c r="E16">
        <f>GETPIVOTDATA("Total Cost",$A$49)</f>
        <v>26399.800000000003</v>
      </c>
      <c r="G16" s="17" t="s">
        <v>44</v>
      </c>
      <c r="H16" s="12">
        <v>1100.1000000000001</v>
      </c>
    </row>
    <row r="17" spans="1:8" x14ac:dyDescent="0.3">
      <c r="A17" s="17" t="s">
        <v>34</v>
      </c>
      <c r="B17" s="15">
        <v>45</v>
      </c>
      <c r="G17" s="17" t="s">
        <v>34</v>
      </c>
      <c r="H17" s="12">
        <v>549.9</v>
      </c>
    </row>
    <row r="18" spans="1:8" x14ac:dyDescent="0.3">
      <c r="A18" s="17" t="s">
        <v>38</v>
      </c>
      <c r="B18" s="15">
        <v>5</v>
      </c>
      <c r="G18" s="17" t="s">
        <v>38</v>
      </c>
      <c r="H18" s="12">
        <v>800</v>
      </c>
    </row>
    <row r="19" spans="1:8" x14ac:dyDescent="0.3">
      <c r="A19" s="17" t="s">
        <v>36</v>
      </c>
      <c r="B19" s="15">
        <v>50</v>
      </c>
      <c r="G19" s="17" t="s">
        <v>36</v>
      </c>
      <c r="H19" s="12">
        <v>700</v>
      </c>
    </row>
    <row r="20" spans="1:8" x14ac:dyDescent="0.3">
      <c r="A20" s="17" t="s">
        <v>75</v>
      </c>
      <c r="B20" s="15">
        <v>85</v>
      </c>
      <c r="G20" s="17" t="s">
        <v>75</v>
      </c>
      <c r="H20" s="12">
        <v>2499.85</v>
      </c>
    </row>
    <row r="21" spans="1:8" x14ac:dyDescent="0.3">
      <c r="A21" s="17" t="s">
        <v>11</v>
      </c>
      <c r="B21" s="15">
        <v>10</v>
      </c>
      <c r="G21" s="17" t="s">
        <v>11</v>
      </c>
      <c r="H21" s="12">
        <v>200</v>
      </c>
    </row>
    <row r="22" spans="1:8" x14ac:dyDescent="0.3">
      <c r="A22" s="17" t="s">
        <v>71</v>
      </c>
      <c r="B22" s="15">
        <v>80</v>
      </c>
      <c r="G22" s="17" t="s">
        <v>71</v>
      </c>
      <c r="H22" s="12">
        <v>2300</v>
      </c>
    </row>
    <row r="23" spans="1:8" x14ac:dyDescent="0.3">
      <c r="A23" s="17" t="s">
        <v>62</v>
      </c>
      <c r="B23" s="15">
        <v>65</v>
      </c>
      <c r="G23" s="17" t="s">
        <v>62</v>
      </c>
      <c r="H23" s="12">
        <v>2000.05</v>
      </c>
    </row>
    <row r="24" spans="1:8" x14ac:dyDescent="0.3">
      <c r="A24" s="17" t="s">
        <v>64</v>
      </c>
      <c r="B24" s="15">
        <v>70</v>
      </c>
      <c r="G24" s="17" t="s">
        <v>64</v>
      </c>
      <c r="H24" s="12">
        <v>2100</v>
      </c>
    </row>
    <row r="25" spans="1:8" x14ac:dyDescent="0.3">
      <c r="A25" s="17" t="s">
        <v>30</v>
      </c>
      <c r="B25" s="15">
        <v>35</v>
      </c>
      <c r="G25" s="17" t="s">
        <v>30</v>
      </c>
      <c r="H25" s="12">
        <v>350</v>
      </c>
    </row>
    <row r="26" spans="1:8" x14ac:dyDescent="0.3">
      <c r="A26" s="17" t="s">
        <v>73</v>
      </c>
      <c r="B26" s="15">
        <v>0</v>
      </c>
      <c r="G26" s="17" t="s">
        <v>73</v>
      </c>
      <c r="H26" s="12">
        <v>0</v>
      </c>
    </row>
    <row r="27" spans="1:8" x14ac:dyDescent="0.3">
      <c r="A27" s="17" t="s">
        <v>68</v>
      </c>
      <c r="B27" s="15">
        <v>75</v>
      </c>
      <c r="G27" s="17" t="s">
        <v>68</v>
      </c>
      <c r="H27" s="12">
        <v>2199.75</v>
      </c>
    </row>
    <row r="28" spans="1:8" x14ac:dyDescent="0.3">
      <c r="A28" s="17" t="s">
        <v>15</v>
      </c>
      <c r="B28" s="15">
        <v>15</v>
      </c>
      <c r="G28" s="17" t="s">
        <v>15</v>
      </c>
      <c r="H28" s="12">
        <v>150</v>
      </c>
    </row>
    <row r="29" spans="1:8" x14ac:dyDescent="0.3">
      <c r="A29" s="17" t="s">
        <v>50</v>
      </c>
      <c r="B29" s="15">
        <v>40</v>
      </c>
      <c r="G29" s="17" t="s">
        <v>50</v>
      </c>
      <c r="H29" s="12">
        <v>1400</v>
      </c>
    </row>
    <row r="30" spans="1:8" x14ac:dyDescent="0.3">
      <c r="A30" s="17" t="s">
        <v>56</v>
      </c>
      <c r="B30" s="15">
        <v>55</v>
      </c>
      <c r="G30" s="17" t="s">
        <v>56</v>
      </c>
      <c r="H30" s="12">
        <v>1700.05</v>
      </c>
    </row>
    <row r="31" spans="1:8" x14ac:dyDescent="0.3">
      <c r="A31" s="17" t="s">
        <v>28</v>
      </c>
      <c r="B31" s="15">
        <v>0</v>
      </c>
      <c r="G31" s="17" t="s">
        <v>28</v>
      </c>
      <c r="H31" s="12">
        <v>0</v>
      </c>
    </row>
    <row r="32" spans="1:8" x14ac:dyDescent="0.3">
      <c r="A32" s="17" t="s">
        <v>85</v>
      </c>
      <c r="B32" s="15">
        <v>965</v>
      </c>
      <c r="G32" s="17" t="s">
        <v>85</v>
      </c>
      <c r="H32" s="12">
        <v>26399.799999999996</v>
      </c>
    </row>
    <row r="36" spans="1:7" x14ac:dyDescent="0.3">
      <c r="A36" s="16" t="s">
        <v>84</v>
      </c>
      <c r="B36" t="s">
        <v>87</v>
      </c>
      <c r="D36" s="16" t="s">
        <v>84</v>
      </c>
      <c r="E36" t="s">
        <v>92</v>
      </c>
      <c r="G36" s="16" t="s">
        <v>84</v>
      </c>
    </row>
    <row r="37" spans="1:7" x14ac:dyDescent="0.3">
      <c r="A37" s="17" t="s">
        <v>23</v>
      </c>
      <c r="B37" s="12">
        <v>5550.05</v>
      </c>
      <c r="D37" s="17" t="s">
        <v>23</v>
      </c>
      <c r="E37" s="25">
        <v>6</v>
      </c>
      <c r="G37" s="17">
        <v>2021</v>
      </c>
    </row>
    <row r="38" spans="1:7" x14ac:dyDescent="0.3">
      <c r="A38" s="17" t="s">
        <v>81</v>
      </c>
      <c r="B38" s="12">
        <v>3449.95</v>
      </c>
      <c r="D38" s="17" t="s">
        <v>81</v>
      </c>
      <c r="E38" s="25">
        <v>6</v>
      </c>
      <c r="G38" s="17">
        <v>2022</v>
      </c>
    </row>
    <row r="39" spans="1:7" x14ac:dyDescent="0.3">
      <c r="A39" s="17" t="s">
        <v>10</v>
      </c>
      <c r="B39" s="12">
        <v>4450</v>
      </c>
      <c r="D39" s="17" t="s">
        <v>10</v>
      </c>
      <c r="E39" s="25">
        <v>6</v>
      </c>
      <c r="G39" s="17">
        <v>2023</v>
      </c>
    </row>
    <row r="40" spans="1:7" x14ac:dyDescent="0.3">
      <c r="A40" s="17" t="s">
        <v>74</v>
      </c>
      <c r="B40" s="12">
        <v>2499.85</v>
      </c>
      <c r="D40" s="17" t="s">
        <v>74</v>
      </c>
      <c r="E40" s="25">
        <v>1</v>
      </c>
      <c r="G40" s="17" t="s">
        <v>85</v>
      </c>
    </row>
    <row r="41" spans="1:7" x14ac:dyDescent="0.3">
      <c r="A41" s="17" t="s">
        <v>67</v>
      </c>
      <c r="B41" s="12">
        <v>2199.75</v>
      </c>
      <c r="D41" s="17" t="s">
        <v>67</v>
      </c>
      <c r="E41" s="25">
        <v>1</v>
      </c>
    </row>
    <row r="42" spans="1:7" x14ac:dyDescent="0.3">
      <c r="A42" s="17" t="s">
        <v>18</v>
      </c>
      <c r="B42" s="12">
        <v>5950.2</v>
      </c>
      <c r="D42" s="17" t="s">
        <v>18</v>
      </c>
      <c r="E42" s="25">
        <v>6</v>
      </c>
    </row>
    <row r="43" spans="1:7" x14ac:dyDescent="0.3">
      <c r="A43" s="17" t="s">
        <v>72</v>
      </c>
      <c r="B43" s="12">
        <v>0</v>
      </c>
      <c r="D43" s="17" t="s">
        <v>72</v>
      </c>
      <c r="E43" s="25">
        <v>1</v>
      </c>
    </row>
    <row r="44" spans="1:7" x14ac:dyDescent="0.3">
      <c r="A44" s="17" t="s">
        <v>70</v>
      </c>
      <c r="B44" s="12">
        <v>2300</v>
      </c>
      <c r="D44" s="17" t="s">
        <v>70</v>
      </c>
      <c r="E44" s="25">
        <v>1</v>
      </c>
    </row>
    <row r="45" spans="1:7" x14ac:dyDescent="0.3">
      <c r="A45" s="17" t="s">
        <v>85</v>
      </c>
      <c r="B45" s="12">
        <v>26399.8</v>
      </c>
      <c r="D45" s="17" t="s">
        <v>85</v>
      </c>
      <c r="E45" s="25">
        <v>28</v>
      </c>
    </row>
    <row r="49" spans="1:2" x14ac:dyDescent="0.3">
      <c r="A49" s="16" t="s">
        <v>84</v>
      </c>
      <c r="B49" t="s">
        <v>87</v>
      </c>
    </row>
    <row r="50" spans="1:2" x14ac:dyDescent="0.3">
      <c r="A50" s="17" t="s">
        <v>94</v>
      </c>
      <c r="B50" s="12">
        <v>2399.75</v>
      </c>
    </row>
    <row r="51" spans="1:2" x14ac:dyDescent="0.3">
      <c r="A51" s="17" t="s">
        <v>95</v>
      </c>
      <c r="B51" s="12">
        <v>3550.1000000000004</v>
      </c>
    </row>
    <row r="52" spans="1:2" x14ac:dyDescent="0.3">
      <c r="A52" s="17" t="s">
        <v>96</v>
      </c>
      <c r="B52" s="12">
        <v>1200.1499999999999</v>
      </c>
    </row>
    <row r="53" spans="1:2" x14ac:dyDescent="0.3">
      <c r="A53" s="17" t="s">
        <v>97</v>
      </c>
      <c r="B53" s="12">
        <v>2749.85</v>
      </c>
    </row>
    <row r="54" spans="1:2" x14ac:dyDescent="0.3">
      <c r="A54" s="17" t="s">
        <v>98</v>
      </c>
      <c r="B54" s="12">
        <v>1900.1</v>
      </c>
    </row>
    <row r="55" spans="1:2" x14ac:dyDescent="0.3">
      <c r="A55" s="17" t="s">
        <v>99</v>
      </c>
      <c r="B55" s="12">
        <v>1499.85</v>
      </c>
    </row>
    <row r="56" spans="1:2" x14ac:dyDescent="0.3">
      <c r="A56" s="17" t="s">
        <v>100</v>
      </c>
      <c r="B56" s="12">
        <v>1950</v>
      </c>
    </row>
    <row r="57" spans="1:2" x14ac:dyDescent="0.3">
      <c r="A57" s="17" t="s">
        <v>101</v>
      </c>
      <c r="B57" s="12">
        <v>2300.0500000000002</v>
      </c>
    </row>
    <row r="58" spans="1:2" x14ac:dyDescent="0.3">
      <c r="A58" s="17" t="s">
        <v>102</v>
      </c>
      <c r="B58" s="12">
        <v>2349.9</v>
      </c>
    </row>
    <row r="59" spans="1:2" x14ac:dyDescent="0.3">
      <c r="A59" s="17" t="s">
        <v>103</v>
      </c>
      <c r="B59" s="12">
        <v>700</v>
      </c>
    </row>
    <row r="60" spans="1:2" x14ac:dyDescent="0.3">
      <c r="A60" s="17" t="s">
        <v>104</v>
      </c>
      <c r="B60" s="12">
        <v>2800.05</v>
      </c>
    </row>
    <row r="61" spans="1:2" x14ac:dyDescent="0.3">
      <c r="A61" s="17" t="s">
        <v>105</v>
      </c>
      <c r="B61" s="12">
        <v>3000</v>
      </c>
    </row>
    <row r="62" spans="1:2" x14ac:dyDescent="0.3">
      <c r="A62" s="17" t="s">
        <v>85</v>
      </c>
      <c r="B62" s="12">
        <v>26399.800000000003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BD7E-15EC-43CC-8FE6-2492D2D2866B}">
  <dimension ref="D1:X27"/>
  <sheetViews>
    <sheetView showGridLines="0" tabSelected="1" zoomScale="80" zoomScaleNormal="80" workbookViewId="0">
      <pane ySplit="8" topLeftCell="A9" activePane="bottomLeft" state="frozen"/>
      <selection pane="bottomLeft" activeCell="Z16" sqref="Z16"/>
    </sheetView>
  </sheetViews>
  <sheetFormatPr defaultRowHeight="14.4" x14ac:dyDescent="0.3"/>
  <cols>
    <col min="16" max="16" width="9.21875" customWidth="1"/>
    <col min="18" max="18" width="12.77734375" customWidth="1"/>
  </cols>
  <sheetData>
    <row r="1" spans="4:24" s="18" customFormat="1" x14ac:dyDescent="0.3"/>
    <row r="2" spans="4:24" s="18" customFormat="1" ht="15.6" x14ac:dyDescent="0.3">
      <c r="Q2" s="19" t="s">
        <v>0</v>
      </c>
      <c r="R2" s="20">
        <f ca="1">TODAY()</f>
        <v>45991</v>
      </c>
    </row>
    <row r="3" spans="4:24" s="18" customFormat="1" ht="15.6" customHeight="1" x14ac:dyDescent="0.3">
      <c r="D3" s="24" t="s">
        <v>89</v>
      </c>
      <c r="E3" s="24"/>
      <c r="F3" s="24"/>
      <c r="G3" s="24"/>
      <c r="H3" s="24"/>
      <c r="I3" s="24"/>
      <c r="J3" s="24"/>
      <c r="K3" s="24"/>
      <c r="L3" s="24"/>
      <c r="M3" s="24"/>
      <c r="N3" s="24"/>
      <c r="O3" s="24"/>
      <c r="Q3" s="19" t="s">
        <v>88</v>
      </c>
      <c r="R3" s="21">
        <f ca="1">NOW()</f>
        <v>45991.400432060182</v>
      </c>
    </row>
    <row r="4" spans="4:24" s="18" customFormat="1" ht="14.4" customHeight="1" x14ac:dyDescent="0.3">
      <c r="D4" s="24"/>
      <c r="E4" s="24"/>
      <c r="F4" s="24"/>
      <c r="G4" s="24"/>
      <c r="H4" s="24"/>
      <c r="I4" s="24"/>
      <c r="J4" s="24"/>
      <c r="K4" s="24"/>
      <c r="L4" s="24"/>
      <c r="M4" s="24"/>
      <c r="N4" s="24"/>
      <c r="O4" s="24"/>
    </row>
    <row r="5" spans="4:24" s="18" customFormat="1" ht="14.4" customHeight="1" x14ac:dyDescent="0.3">
      <c r="D5" s="24"/>
      <c r="E5" s="24"/>
      <c r="F5" s="24"/>
      <c r="G5" s="24"/>
      <c r="H5" s="24"/>
      <c r="I5" s="24"/>
      <c r="J5" s="24"/>
      <c r="K5" s="24"/>
      <c r="L5" s="24"/>
      <c r="M5" s="24"/>
      <c r="N5" s="24"/>
      <c r="O5" s="24"/>
    </row>
    <row r="6" spans="4:24" ht="14.4" customHeight="1" x14ac:dyDescent="0.3"/>
    <row r="7" spans="4:24" ht="14.4" customHeight="1" x14ac:dyDescent="0.3"/>
    <row r="8" spans="4:24" ht="14.4" customHeight="1" x14ac:dyDescent="0.3"/>
    <row r="9" spans="4:24" x14ac:dyDescent="0.3">
      <c r="H9" s="22" t="s">
        <v>90</v>
      </c>
      <c r="I9" s="23"/>
      <c r="J9" s="23"/>
      <c r="K9" s="23"/>
      <c r="L9" s="23"/>
      <c r="M9" s="23"/>
      <c r="N9" s="23"/>
      <c r="O9" s="23"/>
      <c r="Q9" s="22" t="s">
        <v>91</v>
      </c>
      <c r="R9" s="23"/>
      <c r="S9" s="23"/>
      <c r="T9" s="23"/>
      <c r="U9" s="23"/>
      <c r="V9" s="23"/>
      <c r="W9" s="23"/>
      <c r="X9" s="23"/>
    </row>
    <row r="10" spans="4:24" x14ac:dyDescent="0.3">
      <c r="H10" s="23"/>
      <c r="I10" s="23"/>
      <c r="J10" s="23"/>
      <c r="K10" s="23"/>
      <c r="L10" s="23"/>
      <c r="M10" s="23"/>
      <c r="N10" s="23"/>
      <c r="O10" s="23"/>
      <c r="Q10" s="23"/>
      <c r="R10" s="23"/>
      <c r="S10" s="23"/>
      <c r="T10" s="23"/>
      <c r="U10" s="23"/>
      <c r="V10" s="23"/>
      <c r="W10" s="23"/>
      <c r="X10" s="23"/>
    </row>
    <row r="26" spans="8:24" x14ac:dyDescent="0.3">
      <c r="H26" s="22" t="s">
        <v>106</v>
      </c>
      <c r="I26" s="23"/>
      <c r="J26" s="23"/>
      <c r="K26" s="23"/>
      <c r="L26" s="23"/>
      <c r="M26" s="23"/>
      <c r="N26" s="23"/>
      <c r="O26" s="23"/>
      <c r="Q26" s="22" t="s">
        <v>107</v>
      </c>
      <c r="R26" s="23"/>
      <c r="S26" s="23"/>
      <c r="T26" s="23"/>
      <c r="U26" s="23"/>
      <c r="V26" s="23"/>
      <c r="W26" s="23"/>
      <c r="X26" s="23"/>
    </row>
    <row r="27" spans="8:24" x14ac:dyDescent="0.3">
      <c r="H27" s="23"/>
      <c r="I27" s="23"/>
      <c r="J27" s="23"/>
      <c r="K27" s="23"/>
      <c r="L27" s="23"/>
      <c r="M27" s="23"/>
      <c r="N27" s="23"/>
      <c r="O27" s="23"/>
      <c r="Q27" s="23"/>
      <c r="R27" s="23"/>
      <c r="S27" s="23"/>
      <c r="T27" s="23"/>
      <c r="U27" s="23"/>
      <c r="V27" s="23"/>
      <c r="W27" s="23"/>
      <c r="X27" s="23"/>
    </row>
  </sheetData>
  <mergeCells count="5">
    <mergeCell ref="H9:O10"/>
    <mergeCell ref="Q9:X10"/>
    <mergeCell ref="H26:O27"/>
    <mergeCell ref="D3:O5"/>
    <mergeCell ref="Q26:X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4ec5a1a-e29c-407e-9660-cb4eaaff03ab"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8" ma:contentTypeDescription="Create a new document." ma:contentTypeScope="" ma:versionID="e113dd8c6d9d6d8e50c33cd355eeb814">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654ccc4b072c8ba42f6f064ab7b3a12b"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SearchProperties" minOccurs="0"/>
                <xsd:element ref="ns3:MediaServiceLocation"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00B319-165B-4AE8-A6AE-EED707A1FDFE}">
  <ds:schemaRefs>
    <ds:schemaRef ds:uri="http://schemas.microsoft.com/office/2006/metadata/properties"/>
    <ds:schemaRef ds:uri="http://schemas.microsoft.com/office/infopath/2007/PartnerControls"/>
    <ds:schemaRef ds:uri="04ec5a1a-e29c-407e-9660-cb4eaaff03ab"/>
  </ds:schemaRefs>
</ds:datastoreItem>
</file>

<file path=customXml/itemProps2.xml><?xml version="1.0" encoding="utf-8"?>
<ds:datastoreItem xmlns:ds="http://schemas.openxmlformats.org/officeDocument/2006/customXml" ds:itemID="{84B241E6-AE4C-4EA5-96CC-6E77ABF1BB4A}">
  <ds:schemaRefs>
    <ds:schemaRef ds:uri="http://schemas.microsoft.com/DataMashup"/>
  </ds:schemaRefs>
</ds:datastoreItem>
</file>

<file path=customXml/itemProps3.xml><?xml version="1.0" encoding="utf-8"?>
<ds:datastoreItem xmlns:ds="http://schemas.openxmlformats.org/officeDocument/2006/customXml" ds:itemID="{8184B4C1-4F0A-455C-A4C4-43B4C034F9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6F14EA0-1B09-4BA6-A1E0-FED8521C2B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Sunday Ajibola</cp:lastModifiedBy>
  <cp:revision/>
  <dcterms:created xsi:type="dcterms:W3CDTF">2019-12-23T04:48:23Z</dcterms:created>
  <dcterms:modified xsi:type="dcterms:W3CDTF">2025-11-30T08:37:27Z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0x01010076A9E49C56486844AEA3493470A3BA7F</vt:lpwstr>
  </property>
</Properties>
</file>